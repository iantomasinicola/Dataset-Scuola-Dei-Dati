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to\Desktop\"/>
    </mc:Choice>
  </mc:AlternateContent>
  <xr:revisionPtr revIDLastSave="0" documentId="8_{8FF4EB51-3286-44D6-8B03-D5092501C7DE}" xr6:coauthVersionLast="47" xr6:coauthVersionMax="47" xr10:uidLastSave="{00000000-0000-0000-0000-000000000000}"/>
  <bookViews>
    <workbookView xWindow="-108" yWindow="-108" windowWidth="23256" windowHeight="12456" xr2:uid="{1D5246D8-AE0E-4C5B-8E88-E0BD63440280}"/>
  </bookViews>
  <sheets>
    <sheet name="Fatture" sheetId="1" r:id="rId1"/>
  </sheets>
  <definedNames>
    <definedName name="Gestisci_vuoto">_xlfn.LAMBDA(_xlpm.x,IF(_xlpm.x="","",_xlpm.x))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 a="1"/>
  <c r="J25" i="1" s="1"/>
  <c r="Q17" i="1" a="1"/>
  <c r="Q17" i="1" s="1"/>
  <c r="J17" i="1" a="1"/>
  <c r="J17" i="1" s="1"/>
  <c r="N17" i="1" a="1"/>
  <c r="N17" i="1" s="1"/>
  <c r="K11" i="1"/>
  <c r="K13" i="1"/>
  <c r="K12" i="1"/>
  <c r="J1" i="1" a="1"/>
  <c r="J1" i="1" s="1"/>
  <c r="R1" i="1" a="1"/>
  <c r="R1" i="1" s="1"/>
  <c r="N1" i="1" a="1"/>
  <c r="N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<sst xmlns="http://schemas.openxmlformats.org/spreadsheetml/2006/main" count="227" uniqueCount="15">
  <si>
    <t>NumeroFattura</t>
  </si>
  <si>
    <t>IdCliente</t>
  </si>
  <si>
    <t>DataFattura</t>
  </si>
  <si>
    <t>CodiceProdotto</t>
  </si>
  <si>
    <t>Categoria</t>
  </si>
  <si>
    <t>Spesa</t>
  </si>
  <si>
    <t>Commissioni</t>
  </si>
  <si>
    <t>Percentuale</t>
  </si>
  <si>
    <t>001-SFT-001</t>
  </si>
  <si>
    <t>001-CDC-001</t>
  </si>
  <si>
    <t>Hardware</t>
  </si>
  <si>
    <t>Software</t>
  </si>
  <si>
    <t>001-ABC-003</t>
  </si>
  <si>
    <t>001-CDC-002</t>
  </si>
  <si>
    <t>001-CDC-003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</si>
</sst>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164" fontId="3" fillId="3" borderId="2" xfId="0" applyNumberFormat="1" applyFont="1" applyFill="1" applyBorder="1"/>
    <xf numFmtId="0" fontId="3" fillId="3" borderId="3" xfId="0" applyFont="1" applyFill="1" applyBorder="1"/>
    <xf numFmtId="14" fontId="0" fillId="2" borderId="0" xfId="0" applyNumberFormat="1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3162-9092-483A-A4E3-0E89C29F23D5}">
  <dimension ref="A1:S105"/>
  <sheetViews>
    <sheetView tabSelected="1" workbookViewId="0">
      <selection activeCell="D10" sqref="D10"/>
    </sheetView>
  </sheetViews>
  <sheetFormatPr defaultRowHeight="14.4" x14ac:dyDescent="0.3"/>
  <cols>
    <col min="1" max="1" width="14.33203125" bestFit="1" customWidth="1"/>
    <col min="2" max="2" width="9.21875" bestFit="1" customWidth="1"/>
    <col min="3" max="3" width="11.5546875" bestFit="1" customWidth="1"/>
    <col min="4" max="4" width="14.77734375" bestFit="1" customWidth="1"/>
    <col min="5" max="5" width="9.5546875" bestFit="1" customWidth="1"/>
    <col min="6" max="6" width="7.88671875" bestFit="1" customWidth="1"/>
    <col min="7" max="7" width="12.109375" bestFit="1" customWidth="1"/>
    <col min="8" max="8" width="11.6640625" bestFit="1" customWidth="1"/>
    <col min="10" max="10" width="14.33203125" bestFit="1" customWidth="1"/>
    <col min="11" max="11" width="8" bestFit="1" customWidth="1"/>
    <col min="12" max="12" width="11.5546875" bestFit="1" customWidth="1"/>
    <col min="13" max="13" width="14.77734375" bestFit="1" customWidth="1"/>
    <col min="14" max="14" width="9" bestFit="1" customWidth="1"/>
    <col min="15" max="15" width="17.21875" customWidth="1"/>
    <col min="16" max="16" width="12.109375" bestFit="1" customWidth="1"/>
    <col min="17" max="17" width="11.6640625" bestFit="1" customWidth="1"/>
    <col min="19" max="19" width="14.6640625" customWidth="1"/>
  </cols>
  <sheetData>
    <row r="1" spans="1:1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J1" s="8" t="str" cm="1">
        <f t="array" ref="J1:K4">_xlfn.GROUPBY(E1:E105,F1:F105,_xleta.SUM,3,0)</f>
        <v>Categoria</v>
      </c>
      <c r="K1" s="7" t="str">
        <v>Spesa</v>
      </c>
      <c r="N1" s="7" t="str" cm="1">
        <f t="array" ref="N1:O4">IF(_xlfn.GROUPBY(E1:E105,F1:F105,_xleta.SUM,3,0)="","",_xlfn.GROUPBY(E1:E105,F1:F105,_xleta.SUM,3,0))</f>
        <v>Categoria</v>
      </c>
      <c r="O1" s="7" t="str">
        <v>Spesa</v>
      </c>
      <c r="R1" s="7" t="str" cm="1">
        <f t="array" ref="R1:S4">Gestisci_vuoto(_xlfn.GROUPBY(E1:E105,F1:F105,_xleta.SUM,3,0))</f>
        <v>Categoria</v>
      </c>
      <c r="S1" s="7" t="str">
        <v>Spesa</v>
      </c>
    </row>
    <row r="2" spans="1:19" x14ac:dyDescent="0.3">
      <c r="A2">
        <v>1</v>
      </c>
      <c r="B2">
        <v>2</v>
      </c>
      <c r="C2" s="4">
        <v>42012</v>
      </c>
      <c r="D2" s="4" t="s">
        <v>8</v>
      </c>
      <c r="F2" s="5">
        <v>99</v>
      </c>
      <c r="G2">
        <v>1.35</v>
      </c>
      <c r="H2" s="6">
        <v>7.0000000000000007E-2</v>
      </c>
      <c r="J2" s="7" t="str">
        <v>Hardware</v>
      </c>
      <c r="K2" s="7">
        <v>2190.46</v>
      </c>
      <c r="N2" s="7" t="str">
        <v>Hardware</v>
      </c>
      <c r="O2" s="7">
        <v>2190.46</v>
      </c>
      <c r="R2" s="7" t="str">
        <v>Hardware</v>
      </c>
      <c r="S2" s="7">
        <v>2190.46</v>
      </c>
    </row>
    <row r="3" spans="1:19" x14ac:dyDescent="0.3">
      <c r="A3">
        <v>2</v>
      </c>
      <c r="B3">
        <v>2</v>
      </c>
      <c r="C3" s="4">
        <v>42012</v>
      </c>
      <c r="D3" s="4" t="s">
        <v>9</v>
      </c>
      <c r="E3" t="s">
        <v>10</v>
      </c>
      <c r="F3" s="5">
        <v>25.17</v>
      </c>
      <c r="G3">
        <v>3.21</v>
      </c>
      <c r="H3" s="6">
        <v>0.16</v>
      </c>
      <c r="J3" s="7" t="str">
        <v>Software</v>
      </c>
      <c r="K3" s="7">
        <v>1595.8599999999988</v>
      </c>
      <c r="N3" s="7" t="str">
        <v>Software</v>
      </c>
      <c r="O3" s="7">
        <v>1595.8599999999988</v>
      </c>
      <c r="R3" s="7" t="str">
        <v>Software</v>
      </c>
      <c r="S3" s="7">
        <v>1595.8599999999988</v>
      </c>
    </row>
    <row r="4" spans="1:19" x14ac:dyDescent="0.3">
      <c r="A4">
        <v>3</v>
      </c>
      <c r="B4">
        <v>5</v>
      </c>
      <c r="C4" s="4">
        <v>42038</v>
      </c>
      <c r="D4" s="4" t="s">
        <v>8</v>
      </c>
      <c r="E4" t="s">
        <v>11</v>
      </c>
      <c r="F4" s="5">
        <v>38.14</v>
      </c>
      <c r="G4">
        <v>2.41</v>
      </c>
      <c r="H4" s="6">
        <v>0.2</v>
      </c>
      <c r="J4" s="7">
        <v>0</v>
      </c>
      <c r="K4" s="7">
        <v>99</v>
      </c>
      <c r="N4" s="7" t="str">
        <v/>
      </c>
      <c r="O4" s="7">
        <v>99</v>
      </c>
      <c r="R4" s="7" t="str">
        <v/>
      </c>
      <c r="S4" s="7">
        <v>99</v>
      </c>
    </row>
    <row r="5" spans="1:19" x14ac:dyDescent="0.3">
      <c r="A5">
        <v>4</v>
      </c>
      <c r="B5">
        <v>4</v>
      </c>
      <c r="C5" s="4">
        <v>42066</v>
      </c>
      <c r="D5" s="4" t="s">
        <v>8</v>
      </c>
      <c r="E5" t="s">
        <v>10</v>
      </c>
      <c r="F5" s="5">
        <v>39.14</v>
      </c>
      <c r="G5">
        <v>2.15</v>
      </c>
      <c r="H5" s="6">
        <v>0.46</v>
      </c>
    </row>
    <row r="6" spans="1:19" x14ac:dyDescent="0.3">
      <c r="A6">
        <v>5</v>
      </c>
      <c r="B6">
        <v>6</v>
      </c>
      <c r="C6" s="4">
        <v>42467</v>
      </c>
      <c r="D6" s="4" t="s">
        <v>9</v>
      </c>
      <c r="E6" t="s">
        <v>11</v>
      </c>
      <c r="F6" s="5">
        <v>55.14</v>
      </c>
      <c r="G6">
        <v>2.3199999999999998</v>
      </c>
      <c r="H6" s="6">
        <v>0.66</v>
      </c>
    </row>
    <row r="7" spans="1:19" x14ac:dyDescent="0.3">
      <c r="A7">
        <v>6</v>
      </c>
      <c r="B7">
        <v>3</v>
      </c>
      <c r="C7" s="4">
        <v>42491</v>
      </c>
      <c r="D7" s="4" t="s">
        <v>12</v>
      </c>
      <c r="E7" t="s">
        <v>10</v>
      </c>
      <c r="F7" s="5">
        <v>22.32</v>
      </c>
      <c r="G7">
        <v>2.0499999999999998</v>
      </c>
      <c r="H7" s="6">
        <v>0.56999999999999995</v>
      </c>
    </row>
    <row r="8" spans="1:19" x14ac:dyDescent="0.3">
      <c r="A8">
        <v>7</v>
      </c>
      <c r="B8">
        <v>6</v>
      </c>
      <c r="C8" s="4">
        <v>42583</v>
      </c>
      <c r="D8" s="4" t="s">
        <v>9</v>
      </c>
      <c r="E8" t="s">
        <v>10</v>
      </c>
      <c r="F8" s="5">
        <v>21.32</v>
      </c>
      <c r="G8">
        <v>3.21</v>
      </c>
      <c r="H8" s="6">
        <v>0.18</v>
      </c>
    </row>
    <row r="9" spans="1:19" x14ac:dyDescent="0.3">
      <c r="A9">
        <v>8</v>
      </c>
      <c r="B9">
        <v>5</v>
      </c>
      <c r="C9" s="4">
        <v>42654</v>
      </c>
      <c r="D9" s="4" t="s">
        <v>8</v>
      </c>
      <c r="E9" t="s">
        <v>11</v>
      </c>
      <c r="F9" s="5">
        <v>22.32</v>
      </c>
      <c r="G9">
        <v>4.2300000000000004</v>
      </c>
      <c r="H9" s="6">
        <v>0.26</v>
      </c>
    </row>
    <row r="10" spans="1:19" x14ac:dyDescent="0.3">
      <c r="A10">
        <v>9</v>
      </c>
      <c r="B10">
        <v>6</v>
      </c>
      <c r="C10" s="4">
        <v>43019</v>
      </c>
      <c r="D10" s="4" t="s">
        <v>8</v>
      </c>
      <c r="E10" t="s">
        <v>11</v>
      </c>
      <c r="F10" s="5">
        <v>72.319999999999993</v>
      </c>
      <c r="G10">
        <v>5.34</v>
      </c>
      <c r="H10" s="6">
        <v>0.37</v>
      </c>
      <c r="J10" s="8" t="s">
        <v>4</v>
      </c>
      <c r="K10" s="8" t="s">
        <v>5</v>
      </c>
    </row>
    <row r="11" spans="1:19" x14ac:dyDescent="0.3">
      <c r="A11">
        <v>10</v>
      </c>
      <c r="B11">
        <v>1</v>
      </c>
      <c r="C11" s="4">
        <v>43025</v>
      </c>
      <c r="D11" s="4" t="s">
        <v>9</v>
      </c>
      <c r="E11" t="s">
        <v>10</v>
      </c>
      <c r="F11" s="5">
        <v>30.12</v>
      </c>
      <c r="G11">
        <v>2.7</v>
      </c>
      <c r="H11" s="6">
        <v>0.6</v>
      </c>
      <c r="J11" s="7"/>
      <c r="K11" s="7">
        <f>SUMIFS($F$2:$F$105,$E$2:$E$105,J11)</f>
        <v>0</v>
      </c>
    </row>
    <row r="12" spans="1:19" x14ac:dyDescent="0.3">
      <c r="A12">
        <v>11</v>
      </c>
      <c r="B12">
        <v>5</v>
      </c>
      <c r="C12" s="4">
        <v>43025</v>
      </c>
      <c r="D12" s="4" t="s">
        <v>13</v>
      </c>
      <c r="E12" t="s">
        <v>10</v>
      </c>
      <c r="F12" s="5">
        <v>22.32</v>
      </c>
      <c r="G12">
        <v>1.23</v>
      </c>
      <c r="H12" s="6">
        <v>0.02</v>
      </c>
      <c r="J12" s="7" t="s">
        <v>10</v>
      </c>
      <c r="K12" s="7">
        <f>SUMIFS($F$2:$F$105,$E$2:$E$105,J12)</f>
        <v>2190.46</v>
      </c>
    </row>
    <row r="13" spans="1:19" x14ac:dyDescent="0.3">
      <c r="A13">
        <v>12</v>
      </c>
      <c r="B13">
        <v>4</v>
      </c>
      <c r="C13" s="4">
        <v>43080</v>
      </c>
      <c r="D13" s="4" t="s">
        <v>8</v>
      </c>
      <c r="E13" t="s">
        <v>11</v>
      </c>
      <c r="F13" s="5">
        <v>38.14</v>
      </c>
      <c r="G13">
        <v>3.23</v>
      </c>
      <c r="H13" s="6">
        <v>0.01</v>
      </c>
      <c r="J13" s="7" t="s">
        <v>11</v>
      </c>
      <c r="K13" s="7">
        <f>SUMIFS($F$2:$F$105,$E$2:$E$105,J13)</f>
        <v>1595.8599999999988</v>
      </c>
    </row>
    <row r="14" spans="1:19" x14ac:dyDescent="0.3">
      <c r="A14">
        <v>13</v>
      </c>
      <c r="B14">
        <v>2</v>
      </c>
      <c r="C14" s="4">
        <v>43451</v>
      </c>
      <c r="D14" s="4" t="s">
        <v>12</v>
      </c>
      <c r="E14" t="s">
        <v>10</v>
      </c>
      <c r="F14" s="5">
        <v>38.14</v>
      </c>
      <c r="G14">
        <v>2.42</v>
      </c>
      <c r="H14" s="6">
        <v>0.21</v>
      </c>
    </row>
    <row r="15" spans="1:19" x14ac:dyDescent="0.3">
      <c r="A15">
        <v>14</v>
      </c>
      <c r="B15">
        <v>5</v>
      </c>
      <c r="C15" s="4">
        <v>43451</v>
      </c>
      <c r="D15" s="4" t="s">
        <v>8</v>
      </c>
      <c r="E15" t="s">
        <v>11</v>
      </c>
      <c r="F15" s="5">
        <v>38.14</v>
      </c>
      <c r="G15">
        <v>2.33</v>
      </c>
      <c r="H15" s="6">
        <v>0.38</v>
      </c>
    </row>
    <row r="16" spans="1:19" x14ac:dyDescent="0.3">
      <c r="A16">
        <v>15</v>
      </c>
      <c r="B16">
        <v>3</v>
      </c>
      <c r="C16" s="4">
        <v>43468</v>
      </c>
      <c r="D16" s="4" t="s">
        <v>14</v>
      </c>
      <c r="E16" t="s">
        <v>10</v>
      </c>
      <c r="F16" s="5">
        <v>92.32</v>
      </c>
      <c r="G16">
        <v>3.64</v>
      </c>
      <c r="H16" s="6">
        <v>0.99</v>
      </c>
    </row>
    <row r="17" spans="1:17" x14ac:dyDescent="0.3">
      <c r="A17">
        <v>16</v>
      </c>
      <c r="B17">
        <v>6</v>
      </c>
      <c r="C17" s="4">
        <v>43468</v>
      </c>
      <c r="D17" s="4" t="s">
        <v>8</v>
      </c>
      <c r="E17" t="s">
        <v>11</v>
      </c>
      <c r="F17" s="5">
        <v>92.32</v>
      </c>
      <c r="G17">
        <v>4.12</v>
      </c>
      <c r="H17" s="6">
        <v>0.69</v>
      </c>
      <c r="J17" s="7" cm="1">
        <f t="array" ref="J17:J19">_xlfn.UNIQUE(Fatture!$E$2:$E$105)</f>
        <v>0</v>
      </c>
      <c r="N17" s="7" t="str" cm="1">
        <f t="array" ref="N17:N19">IF(_xlfn.UNIQUE(Fatture!$E$2:$E$105)="","",_xlfn.UNIQUE(Fatture!$E$2:$E$105))</f>
        <v/>
      </c>
      <c r="Q17" s="7" t="str" cm="1">
        <f t="array" ref="Q17:Q19">Gestisci_vuoto(_xlfn.UNIQUE(E2:E105))</f>
        <v/>
      </c>
    </row>
    <row r="18" spans="1:17" x14ac:dyDescent="0.3">
      <c r="A18">
        <v>17</v>
      </c>
      <c r="B18">
        <v>6</v>
      </c>
      <c r="C18" s="4">
        <v>43499</v>
      </c>
      <c r="D18" s="4" t="s">
        <v>13</v>
      </c>
      <c r="E18" t="s">
        <v>10</v>
      </c>
      <c r="F18" s="5">
        <v>50</v>
      </c>
      <c r="G18">
        <v>1.23</v>
      </c>
      <c r="H18" s="6">
        <v>0.92</v>
      </c>
      <c r="J18" s="7" t="str">
        <v>Hardware</v>
      </c>
      <c r="N18" s="7" t="str">
        <v>Hardware</v>
      </c>
      <c r="Q18" s="7" t="str">
        <v>Hardware</v>
      </c>
    </row>
    <row r="19" spans="1:17" x14ac:dyDescent="0.3">
      <c r="A19">
        <v>18</v>
      </c>
      <c r="B19">
        <v>4</v>
      </c>
      <c r="C19" s="4">
        <v>43527</v>
      </c>
      <c r="D19" s="4" t="s">
        <v>12</v>
      </c>
      <c r="E19" t="s">
        <v>10</v>
      </c>
      <c r="F19" s="5">
        <v>100</v>
      </c>
      <c r="G19">
        <v>5.23</v>
      </c>
      <c r="H19" s="6">
        <v>0.82</v>
      </c>
      <c r="J19" s="7" t="str">
        <v>Software</v>
      </c>
      <c r="N19" s="7" t="str">
        <v>Software</v>
      </c>
      <c r="Q19" s="7" t="str">
        <v>Software</v>
      </c>
    </row>
    <row r="20" spans="1:17" x14ac:dyDescent="0.3">
      <c r="A20">
        <v>19</v>
      </c>
      <c r="B20">
        <v>6</v>
      </c>
      <c r="C20" s="4">
        <v>43558</v>
      </c>
      <c r="D20" s="4" t="s">
        <v>13</v>
      </c>
      <c r="E20" t="s">
        <v>10</v>
      </c>
      <c r="F20" s="5">
        <v>32.56</v>
      </c>
      <c r="G20">
        <v>3.21</v>
      </c>
      <c r="H20" s="6">
        <v>0.82</v>
      </c>
    </row>
    <row r="21" spans="1:17" x14ac:dyDescent="0.3">
      <c r="A21">
        <v>20</v>
      </c>
      <c r="B21">
        <v>2</v>
      </c>
      <c r="C21" s="4">
        <v>43588</v>
      </c>
      <c r="D21" s="4" t="s">
        <v>8</v>
      </c>
      <c r="E21" t="s">
        <v>11</v>
      </c>
      <c r="F21" s="5">
        <v>38.14</v>
      </c>
      <c r="G21">
        <v>2.41</v>
      </c>
      <c r="H21" s="6">
        <v>0.43</v>
      </c>
    </row>
    <row r="22" spans="1:17" x14ac:dyDescent="0.3">
      <c r="A22">
        <v>21</v>
      </c>
      <c r="B22">
        <v>6</v>
      </c>
      <c r="C22" s="4">
        <v>43619</v>
      </c>
      <c r="D22" s="4" t="s">
        <v>8</v>
      </c>
      <c r="E22" t="s">
        <v>11</v>
      </c>
      <c r="F22" s="5">
        <v>39.14</v>
      </c>
      <c r="G22">
        <v>2.15</v>
      </c>
      <c r="H22" s="6">
        <v>7.0000000000000007E-2</v>
      </c>
    </row>
    <row r="23" spans="1:17" x14ac:dyDescent="0.3">
      <c r="A23">
        <v>22</v>
      </c>
      <c r="B23">
        <v>6</v>
      </c>
      <c r="C23" s="4">
        <v>43649</v>
      </c>
      <c r="D23" s="4" t="s">
        <v>14</v>
      </c>
      <c r="E23" t="s">
        <v>10</v>
      </c>
      <c r="F23" s="5">
        <v>55.14</v>
      </c>
      <c r="G23">
        <v>2.3199999999999998</v>
      </c>
      <c r="H23" s="6">
        <v>0.05</v>
      </c>
    </row>
    <row r="24" spans="1:17" x14ac:dyDescent="0.3">
      <c r="A24">
        <v>23</v>
      </c>
      <c r="B24">
        <v>1</v>
      </c>
      <c r="C24" s="4">
        <v>43680</v>
      </c>
      <c r="D24" s="4" t="s">
        <v>12</v>
      </c>
      <c r="E24" t="s">
        <v>10</v>
      </c>
      <c r="F24" s="5">
        <v>22.32</v>
      </c>
      <c r="G24">
        <v>2.0499999999999998</v>
      </c>
      <c r="H24" s="6">
        <v>0.39</v>
      </c>
      <c r="J24" s="9" t="s">
        <v>0</v>
      </c>
      <c r="K24" s="10" t="s">
        <v>1</v>
      </c>
      <c r="L24" s="11" t="s">
        <v>2</v>
      </c>
      <c r="M24" s="11" t="s">
        <v>3</v>
      </c>
      <c r="N24" s="10" t="s">
        <v>4</v>
      </c>
      <c r="O24" s="12" t="s">
        <v>5</v>
      </c>
      <c r="P24" s="10" t="s">
        <v>6</v>
      </c>
      <c r="Q24" s="13" t="s">
        <v>7</v>
      </c>
    </row>
    <row r="25" spans="1:17" x14ac:dyDescent="0.3">
      <c r="A25">
        <v>24</v>
      </c>
      <c r="B25">
        <v>2</v>
      </c>
      <c r="C25" s="4">
        <v>43711</v>
      </c>
      <c r="D25" s="4" t="s">
        <v>12</v>
      </c>
      <c r="E25" t="s">
        <v>10</v>
      </c>
      <c r="F25" s="5">
        <v>21.32</v>
      </c>
      <c r="G25">
        <v>3.21</v>
      </c>
      <c r="H25" s="6">
        <v>0.74</v>
      </c>
      <c r="J25" s="7" cm="1">
        <f t="array" ref="J25:Q76">IF(_xlfn._xlws.FILTER(Fatture!$A$2:$H$105,Fatture!$E$2:$E$105="Hardware")="","",_xlfn._xlws.FILTER(Fatture!$A$2:$H$105,Fatture!$E$2:$E$105="Hardware"))</f>
        <v>2</v>
      </c>
      <c r="K25" s="7">
        <v>2</v>
      </c>
      <c r="L25" s="14">
        <v>42012</v>
      </c>
      <c r="M25" s="7" t="str">
        <v>001-CDC-001</v>
      </c>
      <c r="N25" s="7" t="str">
        <v>Hardware</v>
      </c>
      <c r="O25" s="7">
        <v>25.17</v>
      </c>
      <c r="P25" s="7">
        <v>3.21</v>
      </c>
      <c r="Q25" s="7">
        <v>0.16</v>
      </c>
    </row>
    <row r="26" spans="1:17" x14ac:dyDescent="0.3">
      <c r="A26">
        <v>25</v>
      </c>
      <c r="B26">
        <v>3</v>
      </c>
      <c r="C26" s="4">
        <v>43741</v>
      </c>
      <c r="D26" s="4" t="s">
        <v>8</v>
      </c>
      <c r="E26" t="s">
        <v>11</v>
      </c>
      <c r="F26" s="5">
        <v>22.32</v>
      </c>
      <c r="G26">
        <v>4.2300000000000004</v>
      </c>
      <c r="H26" s="6">
        <v>0.85</v>
      </c>
      <c r="J26" s="7">
        <v>4</v>
      </c>
      <c r="K26" s="7">
        <v>4</v>
      </c>
      <c r="L26" s="14">
        <v>42066</v>
      </c>
      <c r="M26" s="7" t="str">
        <v>001-SFT-001</v>
      </c>
      <c r="N26" s="7" t="str">
        <v>Hardware</v>
      </c>
      <c r="O26" s="7">
        <v>39.14</v>
      </c>
      <c r="P26" s="7">
        <v>2.15</v>
      </c>
      <c r="Q26" s="7">
        <v>0.46</v>
      </c>
    </row>
    <row r="27" spans="1:17" x14ac:dyDescent="0.3">
      <c r="A27">
        <v>26</v>
      </c>
      <c r="B27">
        <v>1</v>
      </c>
      <c r="C27" s="4">
        <v>43772</v>
      </c>
      <c r="D27" s="4" t="s">
        <v>8</v>
      </c>
      <c r="E27" t="s">
        <v>11</v>
      </c>
      <c r="F27" s="5">
        <v>72.319999999999993</v>
      </c>
      <c r="G27">
        <v>5.34</v>
      </c>
      <c r="H27" s="6">
        <v>0.59</v>
      </c>
      <c r="J27" s="7">
        <v>6</v>
      </c>
      <c r="K27" s="7">
        <v>3</v>
      </c>
      <c r="L27" s="14">
        <v>42491</v>
      </c>
      <c r="M27" s="7" t="str">
        <v>001-ABC-003</v>
      </c>
      <c r="N27" s="7" t="str">
        <v>Hardware</v>
      </c>
      <c r="O27" s="7">
        <v>22.32</v>
      </c>
      <c r="P27" s="7">
        <v>2.0499999999999998</v>
      </c>
      <c r="Q27" s="7">
        <v>0.56999999999999995</v>
      </c>
    </row>
    <row r="28" spans="1:17" x14ac:dyDescent="0.3">
      <c r="A28">
        <v>27</v>
      </c>
      <c r="B28">
        <v>4</v>
      </c>
      <c r="C28" s="4">
        <v>43802</v>
      </c>
      <c r="D28" s="4" t="s">
        <v>9</v>
      </c>
      <c r="E28" t="s">
        <v>10</v>
      </c>
      <c r="F28" s="5">
        <v>30.12</v>
      </c>
      <c r="G28">
        <v>2.7</v>
      </c>
      <c r="H28" s="6">
        <v>0.53</v>
      </c>
      <c r="J28" s="7">
        <v>7</v>
      </c>
      <c r="K28" s="7">
        <v>6</v>
      </c>
      <c r="L28" s="14">
        <v>42583</v>
      </c>
      <c r="M28" s="7" t="str">
        <v>001-CDC-001</v>
      </c>
      <c r="N28" s="7" t="str">
        <v>Hardware</v>
      </c>
      <c r="O28" s="7">
        <v>21.32</v>
      </c>
      <c r="P28" s="7">
        <v>3.21</v>
      </c>
      <c r="Q28" s="7">
        <v>0.18</v>
      </c>
    </row>
    <row r="29" spans="1:17" x14ac:dyDescent="0.3">
      <c r="A29">
        <v>28</v>
      </c>
      <c r="B29">
        <v>1</v>
      </c>
      <c r="C29" s="4">
        <v>43833</v>
      </c>
      <c r="D29" s="4" t="s">
        <v>13</v>
      </c>
      <c r="E29" t="s">
        <v>10</v>
      </c>
      <c r="F29" s="5">
        <v>22.32</v>
      </c>
      <c r="G29">
        <v>1.23</v>
      </c>
      <c r="H29" s="6">
        <v>0.55000000000000004</v>
      </c>
      <c r="J29" s="7">
        <v>10</v>
      </c>
      <c r="K29" s="7">
        <v>1</v>
      </c>
      <c r="L29" s="14">
        <v>43025</v>
      </c>
      <c r="M29" s="7" t="str">
        <v>001-CDC-001</v>
      </c>
      <c r="N29" s="7" t="str">
        <v>Hardware</v>
      </c>
      <c r="O29" s="7">
        <v>30.12</v>
      </c>
      <c r="P29" s="7">
        <v>2.7</v>
      </c>
      <c r="Q29" s="7">
        <v>0.6</v>
      </c>
    </row>
    <row r="30" spans="1:17" x14ac:dyDescent="0.3">
      <c r="A30">
        <v>29</v>
      </c>
      <c r="B30">
        <v>2</v>
      </c>
      <c r="C30" s="4">
        <v>43864</v>
      </c>
      <c r="D30" s="4" t="s">
        <v>8</v>
      </c>
      <c r="E30" t="s">
        <v>11</v>
      </c>
      <c r="F30" s="5">
        <v>38.14</v>
      </c>
      <c r="G30">
        <v>3.23</v>
      </c>
      <c r="H30" s="6">
        <v>0.51</v>
      </c>
      <c r="J30" s="7">
        <v>11</v>
      </c>
      <c r="K30" s="7">
        <v>5</v>
      </c>
      <c r="L30" s="14">
        <v>43025</v>
      </c>
      <c r="M30" s="7" t="str">
        <v>001-CDC-002</v>
      </c>
      <c r="N30" s="7" t="str">
        <v>Hardware</v>
      </c>
      <c r="O30" s="7">
        <v>22.32</v>
      </c>
      <c r="P30" s="7">
        <v>1.23</v>
      </c>
      <c r="Q30" s="7">
        <v>0.02</v>
      </c>
    </row>
    <row r="31" spans="1:17" x14ac:dyDescent="0.3">
      <c r="A31">
        <v>30</v>
      </c>
      <c r="B31">
        <v>6</v>
      </c>
      <c r="C31" s="4">
        <v>43893</v>
      </c>
      <c r="D31" s="4" t="s">
        <v>9</v>
      </c>
      <c r="E31" t="s">
        <v>10</v>
      </c>
      <c r="F31" s="5">
        <v>38.14</v>
      </c>
      <c r="G31">
        <v>2.42</v>
      </c>
      <c r="H31" s="6">
        <v>0.2</v>
      </c>
      <c r="J31" s="7">
        <v>13</v>
      </c>
      <c r="K31" s="7">
        <v>2</v>
      </c>
      <c r="L31" s="14">
        <v>43451</v>
      </c>
      <c r="M31" s="7" t="str">
        <v>001-ABC-003</v>
      </c>
      <c r="N31" s="7" t="str">
        <v>Hardware</v>
      </c>
      <c r="O31" s="7">
        <v>38.14</v>
      </c>
      <c r="P31" s="7">
        <v>2.42</v>
      </c>
      <c r="Q31" s="7">
        <v>0.21</v>
      </c>
    </row>
    <row r="32" spans="1:17" x14ac:dyDescent="0.3">
      <c r="A32">
        <v>31</v>
      </c>
      <c r="B32">
        <v>2</v>
      </c>
      <c r="C32" s="4">
        <v>43924</v>
      </c>
      <c r="D32" s="4" t="s">
        <v>8</v>
      </c>
      <c r="E32" t="s">
        <v>11</v>
      </c>
      <c r="F32" s="5">
        <v>38.14</v>
      </c>
      <c r="G32">
        <v>2.33</v>
      </c>
      <c r="H32" s="6">
        <v>0.14000000000000001</v>
      </c>
      <c r="J32" s="7">
        <v>15</v>
      </c>
      <c r="K32" s="7">
        <v>3</v>
      </c>
      <c r="L32" s="14">
        <v>43468</v>
      </c>
      <c r="M32" s="7" t="str">
        <v>001-CDC-003</v>
      </c>
      <c r="N32" s="7" t="str">
        <v>Hardware</v>
      </c>
      <c r="O32" s="7">
        <v>92.32</v>
      </c>
      <c r="P32" s="7">
        <v>3.64</v>
      </c>
      <c r="Q32" s="7">
        <v>0.99</v>
      </c>
    </row>
    <row r="33" spans="1:17" x14ac:dyDescent="0.3">
      <c r="A33">
        <v>32</v>
      </c>
      <c r="B33">
        <v>3</v>
      </c>
      <c r="C33" s="4">
        <v>43954</v>
      </c>
      <c r="D33" s="4" t="s">
        <v>12</v>
      </c>
      <c r="E33" t="s">
        <v>10</v>
      </c>
      <c r="F33" s="5">
        <v>92.32</v>
      </c>
      <c r="G33">
        <v>3.64</v>
      </c>
      <c r="H33" s="6">
        <v>0.62</v>
      </c>
      <c r="J33" s="7">
        <v>17</v>
      </c>
      <c r="K33" s="7">
        <v>6</v>
      </c>
      <c r="L33" s="14">
        <v>43499</v>
      </c>
      <c r="M33" s="7" t="str">
        <v>001-CDC-002</v>
      </c>
      <c r="N33" s="7" t="str">
        <v>Hardware</v>
      </c>
      <c r="O33" s="7">
        <v>50</v>
      </c>
      <c r="P33" s="7">
        <v>1.23</v>
      </c>
      <c r="Q33" s="7">
        <v>0.92</v>
      </c>
    </row>
    <row r="34" spans="1:17" x14ac:dyDescent="0.3">
      <c r="A34">
        <v>33</v>
      </c>
      <c r="B34">
        <v>3</v>
      </c>
      <c r="C34" s="4">
        <v>43985</v>
      </c>
      <c r="D34" s="4" t="s">
        <v>8</v>
      </c>
      <c r="E34" t="s">
        <v>11</v>
      </c>
      <c r="F34" s="5">
        <v>92.32</v>
      </c>
      <c r="G34">
        <v>4.12</v>
      </c>
      <c r="H34" s="6">
        <v>0.57999999999999996</v>
      </c>
      <c r="J34" s="7">
        <v>18</v>
      </c>
      <c r="K34" s="7">
        <v>4</v>
      </c>
      <c r="L34" s="14">
        <v>43527</v>
      </c>
      <c r="M34" s="7" t="str">
        <v>001-ABC-003</v>
      </c>
      <c r="N34" s="7" t="str">
        <v>Hardware</v>
      </c>
      <c r="O34" s="7">
        <v>100</v>
      </c>
      <c r="P34" s="7">
        <v>5.23</v>
      </c>
      <c r="Q34" s="7">
        <v>0.82</v>
      </c>
    </row>
    <row r="35" spans="1:17" x14ac:dyDescent="0.3">
      <c r="A35">
        <v>34</v>
      </c>
      <c r="B35">
        <v>6</v>
      </c>
      <c r="C35" s="4">
        <v>44015</v>
      </c>
      <c r="D35" s="4" t="s">
        <v>9</v>
      </c>
      <c r="E35" t="s">
        <v>10</v>
      </c>
      <c r="F35" s="5">
        <v>50</v>
      </c>
      <c r="G35">
        <v>1.23</v>
      </c>
      <c r="H35" s="6">
        <v>0.63</v>
      </c>
      <c r="J35" s="7">
        <v>19</v>
      </c>
      <c r="K35" s="7">
        <v>6</v>
      </c>
      <c r="L35" s="14">
        <v>43558</v>
      </c>
      <c r="M35" s="7" t="str">
        <v>001-CDC-002</v>
      </c>
      <c r="N35" s="7" t="str">
        <v>Hardware</v>
      </c>
      <c r="O35" s="7">
        <v>32.56</v>
      </c>
      <c r="P35" s="7">
        <v>3.21</v>
      </c>
      <c r="Q35" s="7">
        <v>0.82</v>
      </c>
    </row>
    <row r="36" spans="1:17" x14ac:dyDescent="0.3">
      <c r="A36">
        <v>35</v>
      </c>
      <c r="B36">
        <v>6</v>
      </c>
      <c r="C36" s="4">
        <v>44046</v>
      </c>
      <c r="D36" s="4" t="s">
        <v>13</v>
      </c>
      <c r="E36" t="s">
        <v>10</v>
      </c>
      <c r="F36" s="5">
        <v>100</v>
      </c>
      <c r="G36">
        <v>5.23</v>
      </c>
      <c r="H36" s="6">
        <v>0.39</v>
      </c>
      <c r="J36" s="7">
        <v>22</v>
      </c>
      <c r="K36" s="7">
        <v>6</v>
      </c>
      <c r="L36" s="14">
        <v>43649</v>
      </c>
      <c r="M36" s="7" t="str">
        <v>001-CDC-003</v>
      </c>
      <c r="N36" s="7" t="str">
        <v>Hardware</v>
      </c>
      <c r="O36" s="7">
        <v>55.14</v>
      </c>
      <c r="P36" s="7">
        <v>2.3199999999999998</v>
      </c>
      <c r="Q36" s="7">
        <v>0.05</v>
      </c>
    </row>
    <row r="37" spans="1:17" x14ac:dyDescent="0.3">
      <c r="A37">
        <v>36</v>
      </c>
      <c r="B37">
        <v>5</v>
      </c>
      <c r="C37" s="4">
        <v>44077</v>
      </c>
      <c r="D37" s="4" t="s">
        <v>9</v>
      </c>
      <c r="E37" t="s">
        <v>10</v>
      </c>
      <c r="F37" s="5">
        <v>32.56</v>
      </c>
      <c r="G37">
        <v>3.21</v>
      </c>
      <c r="H37" s="6">
        <v>0.38</v>
      </c>
      <c r="J37" s="7">
        <v>23</v>
      </c>
      <c r="K37" s="7">
        <v>1</v>
      </c>
      <c r="L37" s="14">
        <v>43680</v>
      </c>
      <c r="M37" s="7" t="str">
        <v>001-ABC-003</v>
      </c>
      <c r="N37" s="7" t="str">
        <v>Hardware</v>
      </c>
      <c r="O37" s="7">
        <v>22.32</v>
      </c>
      <c r="P37" s="7">
        <v>2.0499999999999998</v>
      </c>
      <c r="Q37" s="7">
        <v>0.39</v>
      </c>
    </row>
    <row r="38" spans="1:17" x14ac:dyDescent="0.3">
      <c r="A38">
        <v>37</v>
      </c>
      <c r="B38">
        <v>2</v>
      </c>
      <c r="C38" s="4">
        <v>44107</v>
      </c>
      <c r="D38" s="4" t="s">
        <v>8</v>
      </c>
      <c r="E38" t="s">
        <v>11</v>
      </c>
      <c r="F38" s="5">
        <v>38.14</v>
      </c>
      <c r="G38">
        <v>2.41</v>
      </c>
      <c r="H38" s="6">
        <v>0.1</v>
      </c>
      <c r="J38" s="7">
        <v>24</v>
      </c>
      <c r="K38" s="7">
        <v>2</v>
      </c>
      <c r="L38" s="14">
        <v>43711</v>
      </c>
      <c r="M38" s="7" t="str">
        <v>001-ABC-003</v>
      </c>
      <c r="N38" s="7" t="str">
        <v>Hardware</v>
      </c>
      <c r="O38" s="7">
        <v>21.32</v>
      </c>
      <c r="P38" s="7">
        <v>3.21</v>
      </c>
      <c r="Q38" s="7">
        <v>0.74</v>
      </c>
    </row>
    <row r="39" spans="1:17" x14ac:dyDescent="0.3">
      <c r="A39">
        <v>38</v>
      </c>
      <c r="B39">
        <v>3</v>
      </c>
      <c r="C39" s="4">
        <v>44138</v>
      </c>
      <c r="D39" s="4" t="s">
        <v>8</v>
      </c>
      <c r="E39" t="s">
        <v>11</v>
      </c>
      <c r="F39" s="5">
        <v>39.14</v>
      </c>
      <c r="G39">
        <v>2.15</v>
      </c>
      <c r="H39" s="6">
        <v>0.95</v>
      </c>
      <c r="J39" s="7">
        <v>27</v>
      </c>
      <c r="K39" s="7">
        <v>4</v>
      </c>
      <c r="L39" s="14">
        <v>43802</v>
      </c>
      <c r="M39" s="7" t="str">
        <v>001-CDC-001</v>
      </c>
      <c r="N39" s="7" t="str">
        <v>Hardware</v>
      </c>
      <c r="O39" s="7">
        <v>30.12</v>
      </c>
      <c r="P39" s="7">
        <v>2.7</v>
      </c>
      <c r="Q39" s="7">
        <v>0.53</v>
      </c>
    </row>
    <row r="40" spans="1:17" x14ac:dyDescent="0.3">
      <c r="A40">
        <v>39</v>
      </c>
      <c r="B40">
        <v>6</v>
      </c>
      <c r="C40" s="4">
        <v>44168</v>
      </c>
      <c r="D40" s="4" t="s">
        <v>14</v>
      </c>
      <c r="E40" t="s">
        <v>10</v>
      </c>
      <c r="F40" s="5">
        <v>55.14</v>
      </c>
      <c r="G40">
        <v>2.3199999999999998</v>
      </c>
      <c r="H40" s="6">
        <v>0.56999999999999995</v>
      </c>
      <c r="J40" s="7">
        <v>28</v>
      </c>
      <c r="K40" s="7">
        <v>1</v>
      </c>
      <c r="L40" s="14">
        <v>43833</v>
      </c>
      <c r="M40" s="7" t="str">
        <v>001-CDC-002</v>
      </c>
      <c r="N40" s="7" t="str">
        <v>Hardware</v>
      </c>
      <c r="O40" s="7">
        <v>22.32</v>
      </c>
      <c r="P40" s="7">
        <v>1.23</v>
      </c>
      <c r="Q40" s="7">
        <v>0.55000000000000004</v>
      </c>
    </row>
    <row r="41" spans="1:17" x14ac:dyDescent="0.3">
      <c r="A41">
        <v>40</v>
      </c>
      <c r="B41">
        <v>5</v>
      </c>
      <c r="C41" s="4">
        <v>44199</v>
      </c>
      <c r="D41" s="4" t="s">
        <v>12</v>
      </c>
      <c r="E41" t="s">
        <v>10</v>
      </c>
      <c r="F41" s="5">
        <v>22.32</v>
      </c>
      <c r="G41">
        <v>2.0499999999999998</v>
      </c>
      <c r="H41" s="6">
        <v>0.93</v>
      </c>
      <c r="J41" s="7">
        <v>30</v>
      </c>
      <c r="K41" s="7">
        <v>6</v>
      </c>
      <c r="L41" s="14">
        <v>43893</v>
      </c>
      <c r="M41" s="7" t="str">
        <v>001-CDC-001</v>
      </c>
      <c r="N41" s="7" t="str">
        <v>Hardware</v>
      </c>
      <c r="O41" s="7">
        <v>38.14</v>
      </c>
      <c r="P41" s="7">
        <v>2.42</v>
      </c>
      <c r="Q41" s="7">
        <v>0.2</v>
      </c>
    </row>
    <row r="42" spans="1:17" x14ac:dyDescent="0.3">
      <c r="A42">
        <v>41</v>
      </c>
      <c r="B42">
        <v>5</v>
      </c>
      <c r="C42" s="4">
        <v>44230</v>
      </c>
      <c r="D42" s="4" t="s">
        <v>12</v>
      </c>
      <c r="E42" t="s">
        <v>10</v>
      </c>
      <c r="F42" s="5">
        <v>21.32</v>
      </c>
      <c r="G42">
        <v>3.21</v>
      </c>
      <c r="H42" s="6">
        <v>0.79</v>
      </c>
      <c r="J42" s="7">
        <v>32</v>
      </c>
      <c r="K42" s="7">
        <v>3</v>
      </c>
      <c r="L42" s="14">
        <v>43954</v>
      </c>
      <c r="M42" s="7" t="str">
        <v>001-ABC-003</v>
      </c>
      <c r="N42" s="7" t="str">
        <v>Hardware</v>
      </c>
      <c r="O42" s="7">
        <v>92.32</v>
      </c>
      <c r="P42" s="7">
        <v>3.64</v>
      </c>
      <c r="Q42" s="7">
        <v>0.62</v>
      </c>
    </row>
    <row r="43" spans="1:17" x14ac:dyDescent="0.3">
      <c r="A43">
        <v>42</v>
      </c>
      <c r="B43">
        <v>1</v>
      </c>
      <c r="C43" s="4">
        <v>44258</v>
      </c>
      <c r="D43" s="4" t="s">
        <v>8</v>
      </c>
      <c r="E43" t="s">
        <v>11</v>
      </c>
      <c r="F43" s="5">
        <v>22.32</v>
      </c>
      <c r="G43">
        <v>4.2300000000000004</v>
      </c>
      <c r="H43" s="6">
        <v>0.64</v>
      </c>
      <c r="J43" s="7">
        <v>34</v>
      </c>
      <c r="K43" s="7">
        <v>6</v>
      </c>
      <c r="L43" s="14">
        <v>44015</v>
      </c>
      <c r="M43" s="7" t="str">
        <v>001-CDC-001</v>
      </c>
      <c r="N43" s="7" t="str">
        <v>Hardware</v>
      </c>
      <c r="O43" s="7">
        <v>50</v>
      </c>
      <c r="P43" s="7">
        <v>1.23</v>
      </c>
      <c r="Q43" s="7">
        <v>0.63</v>
      </c>
    </row>
    <row r="44" spans="1:17" x14ac:dyDescent="0.3">
      <c r="A44">
        <v>43</v>
      </c>
      <c r="B44">
        <v>5</v>
      </c>
      <c r="C44" s="4">
        <v>44289</v>
      </c>
      <c r="D44" s="4" t="s">
        <v>8</v>
      </c>
      <c r="E44" t="s">
        <v>11</v>
      </c>
      <c r="F44" s="5">
        <v>72.319999999999993</v>
      </c>
      <c r="G44">
        <v>5.34</v>
      </c>
      <c r="H44" s="6">
        <v>0.19</v>
      </c>
      <c r="J44" s="7">
        <v>35</v>
      </c>
      <c r="K44" s="7">
        <v>6</v>
      </c>
      <c r="L44" s="14">
        <v>44046</v>
      </c>
      <c r="M44" s="7" t="str">
        <v>001-CDC-002</v>
      </c>
      <c r="N44" s="7" t="str">
        <v>Hardware</v>
      </c>
      <c r="O44" s="7">
        <v>100</v>
      </c>
      <c r="P44" s="7">
        <v>5.23</v>
      </c>
      <c r="Q44" s="7">
        <v>0.39</v>
      </c>
    </row>
    <row r="45" spans="1:17" x14ac:dyDescent="0.3">
      <c r="A45">
        <v>44</v>
      </c>
      <c r="B45">
        <v>1</v>
      </c>
      <c r="C45" s="4">
        <v>44319</v>
      </c>
      <c r="D45" s="4" t="s">
        <v>9</v>
      </c>
      <c r="E45" t="s">
        <v>10</v>
      </c>
      <c r="F45" s="5">
        <v>30.12</v>
      </c>
      <c r="G45">
        <v>2.7</v>
      </c>
      <c r="H45" s="6">
        <v>0.12</v>
      </c>
      <c r="J45" s="7">
        <v>36</v>
      </c>
      <c r="K45" s="7">
        <v>5</v>
      </c>
      <c r="L45" s="14">
        <v>44077</v>
      </c>
      <c r="M45" s="7" t="str">
        <v>001-CDC-001</v>
      </c>
      <c r="N45" s="7" t="str">
        <v>Hardware</v>
      </c>
      <c r="O45" s="7">
        <v>32.56</v>
      </c>
      <c r="P45" s="7">
        <v>3.21</v>
      </c>
      <c r="Q45" s="7">
        <v>0.38</v>
      </c>
    </row>
    <row r="46" spans="1:17" x14ac:dyDescent="0.3">
      <c r="A46">
        <v>45</v>
      </c>
      <c r="B46">
        <v>6</v>
      </c>
      <c r="C46" s="4">
        <v>44350</v>
      </c>
      <c r="D46" s="4" t="s">
        <v>13</v>
      </c>
      <c r="E46" t="s">
        <v>10</v>
      </c>
      <c r="F46" s="5">
        <v>22.32</v>
      </c>
      <c r="G46">
        <v>1.23</v>
      </c>
      <c r="H46" s="6">
        <v>0.65</v>
      </c>
      <c r="J46" s="7">
        <v>39</v>
      </c>
      <c r="K46" s="7">
        <v>6</v>
      </c>
      <c r="L46" s="14">
        <v>44168</v>
      </c>
      <c r="M46" s="7" t="str">
        <v>001-CDC-003</v>
      </c>
      <c r="N46" s="7" t="str">
        <v>Hardware</v>
      </c>
      <c r="O46" s="7">
        <v>55.14</v>
      </c>
      <c r="P46" s="7">
        <v>2.3199999999999998</v>
      </c>
      <c r="Q46" s="7">
        <v>0.56999999999999995</v>
      </c>
    </row>
    <row r="47" spans="1:17" x14ac:dyDescent="0.3">
      <c r="A47">
        <v>46</v>
      </c>
      <c r="B47">
        <v>1</v>
      </c>
      <c r="C47" s="4">
        <v>44380</v>
      </c>
      <c r="D47" s="4" t="s">
        <v>8</v>
      </c>
      <c r="E47" t="s">
        <v>11</v>
      </c>
      <c r="F47" s="5">
        <v>38.14</v>
      </c>
      <c r="G47">
        <v>3.23</v>
      </c>
      <c r="H47" s="6">
        <v>0.87</v>
      </c>
      <c r="J47" s="7">
        <v>40</v>
      </c>
      <c r="K47" s="7">
        <v>5</v>
      </c>
      <c r="L47" s="14">
        <v>44199</v>
      </c>
      <c r="M47" s="7" t="str">
        <v>001-ABC-003</v>
      </c>
      <c r="N47" s="7" t="str">
        <v>Hardware</v>
      </c>
      <c r="O47" s="7">
        <v>22.32</v>
      </c>
      <c r="P47" s="7">
        <v>2.0499999999999998</v>
      </c>
      <c r="Q47" s="7">
        <v>0.93</v>
      </c>
    </row>
    <row r="48" spans="1:17" x14ac:dyDescent="0.3">
      <c r="A48">
        <v>46</v>
      </c>
      <c r="B48">
        <v>2</v>
      </c>
      <c r="C48" s="4">
        <v>44411</v>
      </c>
      <c r="D48" s="4" t="s">
        <v>9</v>
      </c>
      <c r="E48" t="s">
        <v>10</v>
      </c>
      <c r="F48" s="5">
        <v>38.14</v>
      </c>
      <c r="G48">
        <v>2.42</v>
      </c>
      <c r="H48" s="6">
        <v>0.65</v>
      </c>
      <c r="J48" s="7">
        <v>41</v>
      </c>
      <c r="K48" s="7">
        <v>5</v>
      </c>
      <c r="L48" s="14">
        <v>44230</v>
      </c>
      <c r="M48" s="7" t="str">
        <v>001-ABC-003</v>
      </c>
      <c r="N48" s="7" t="str">
        <v>Hardware</v>
      </c>
      <c r="O48" s="7">
        <v>21.32</v>
      </c>
      <c r="P48" s="7">
        <v>3.21</v>
      </c>
      <c r="Q48" s="7">
        <v>0.79</v>
      </c>
    </row>
    <row r="49" spans="1:17" x14ac:dyDescent="0.3">
      <c r="A49">
        <v>48</v>
      </c>
      <c r="B49">
        <v>6</v>
      </c>
      <c r="C49" s="4">
        <v>44442</v>
      </c>
      <c r="D49" s="4" t="s">
        <v>8</v>
      </c>
      <c r="E49" t="s">
        <v>11</v>
      </c>
      <c r="F49" s="5">
        <v>38.14</v>
      </c>
      <c r="G49">
        <v>2.33</v>
      </c>
      <c r="H49" s="6">
        <v>0.51</v>
      </c>
      <c r="J49" s="7">
        <v>44</v>
      </c>
      <c r="K49" s="7">
        <v>1</v>
      </c>
      <c r="L49" s="14">
        <v>44319</v>
      </c>
      <c r="M49" s="7" t="str">
        <v>001-CDC-001</v>
      </c>
      <c r="N49" s="7" t="str">
        <v>Hardware</v>
      </c>
      <c r="O49" s="7">
        <v>30.12</v>
      </c>
      <c r="P49" s="7">
        <v>2.7</v>
      </c>
      <c r="Q49" s="7">
        <v>0.12</v>
      </c>
    </row>
    <row r="50" spans="1:17" x14ac:dyDescent="0.3">
      <c r="A50">
        <v>49</v>
      </c>
      <c r="B50">
        <v>2</v>
      </c>
      <c r="C50" s="4">
        <v>44472</v>
      </c>
      <c r="D50" s="4" t="s">
        <v>12</v>
      </c>
      <c r="E50" t="s">
        <v>10</v>
      </c>
      <c r="F50" s="5">
        <v>92.32</v>
      </c>
      <c r="G50">
        <v>3.64</v>
      </c>
      <c r="H50" s="6">
        <v>0.86</v>
      </c>
      <c r="J50" s="7">
        <v>45</v>
      </c>
      <c r="K50" s="7">
        <v>6</v>
      </c>
      <c r="L50" s="14">
        <v>44350</v>
      </c>
      <c r="M50" s="7" t="str">
        <v>001-CDC-002</v>
      </c>
      <c r="N50" s="7" t="str">
        <v>Hardware</v>
      </c>
      <c r="O50" s="7">
        <v>22.32</v>
      </c>
      <c r="P50" s="7">
        <v>1.23</v>
      </c>
      <c r="Q50" s="7">
        <v>0.65</v>
      </c>
    </row>
    <row r="51" spans="1:17" x14ac:dyDescent="0.3">
      <c r="A51">
        <v>50</v>
      </c>
      <c r="B51">
        <v>5</v>
      </c>
      <c r="C51" s="4">
        <v>44503</v>
      </c>
      <c r="D51" s="4" t="s">
        <v>8</v>
      </c>
      <c r="E51" t="s">
        <v>11</v>
      </c>
      <c r="F51" s="5">
        <v>92.32</v>
      </c>
      <c r="G51">
        <v>4.12</v>
      </c>
      <c r="H51" s="6">
        <v>0.59</v>
      </c>
      <c r="J51" s="7">
        <v>46</v>
      </c>
      <c r="K51" s="7">
        <v>2</v>
      </c>
      <c r="L51" s="14">
        <v>44411</v>
      </c>
      <c r="M51" s="7" t="str">
        <v>001-CDC-001</v>
      </c>
      <c r="N51" s="7" t="str">
        <v>Hardware</v>
      </c>
      <c r="O51" s="7">
        <v>38.14</v>
      </c>
      <c r="P51" s="7">
        <v>2.42</v>
      </c>
      <c r="Q51" s="7">
        <v>0.65</v>
      </c>
    </row>
    <row r="52" spans="1:17" x14ac:dyDescent="0.3">
      <c r="A52">
        <v>51</v>
      </c>
      <c r="B52">
        <v>4</v>
      </c>
      <c r="C52" s="4">
        <v>44533</v>
      </c>
      <c r="D52" s="4" t="s">
        <v>12</v>
      </c>
      <c r="E52" t="s">
        <v>10</v>
      </c>
      <c r="F52" s="5">
        <v>50</v>
      </c>
      <c r="G52">
        <v>1.23</v>
      </c>
      <c r="H52" s="6">
        <v>0.75</v>
      </c>
      <c r="J52" s="7">
        <v>49</v>
      </c>
      <c r="K52" s="7">
        <v>2</v>
      </c>
      <c r="L52" s="14">
        <v>44472</v>
      </c>
      <c r="M52" s="7" t="str">
        <v>001-ABC-003</v>
      </c>
      <c r="N52" s="7" t="str">
        <v>Hardware</v>
      </c>
      <c r="O52" s="7">
        <v>92.32</v>
      </c>
      <c r="P52" s="7">
        <v>3.64</v>
      </c>
      <c r="Q52" s="7">
        <v>0.86</v>
      </c>
    </row>
    <row r="53" spans="1:17" x14ac:dyDescent="0.3">
      <c r="A53">
        <v>52</v>
      </c>
      <c r="B53">
        <v>6</v>
      </c>
      <c r="C53" s="4">
        <v>44564</v>
      </c>
      <c r="D53" s="4" t="s">
        <v>14</v>
      </c>
      <c r="E53" t="s">
        <v>10</v>
      </c>
      <c r="F53" s="5">
        <v>35.89</v>
      </c>
      <c r="G53">
        <v>0.57999999999999996</v>
      </c>
      <c r="H53" s="6">
        <v>0.93</v>
      </c>
      <c r="J53" s="7">
        <v>51</v>
      </c>
      <c r="K53" s="7">
        <v>4</v>
      </c>
      <c r="L53" s="14">
        <v>44533</v>
      </c>
      <c r="M53" s="7" t="str">
        <v>001-ABC-003</v>
      </c>
      <c r="N53" s="7" t="str">
        <v>Hardware</v>
      </c>
      <c r="O53" s="7">
        <v>50</v>
      </c>
      <c r="P53" s="7">
        <v>1.23</v>
      </c>
      <c r="Q53" s="7">
        <v>0.75</v>
      </c>
    </row>
    <row r="54" spans="1:17" x14ac:dyDescent="0.3">
      <c r="A54">
        <v>53</v>
      </c>
      <c r="B54">
        <v>5</v>
      </c>
      <c r="C54" s="4">
        <v>44595</v>
      </c>
      <c r="D54" s="4" t="s">
        <v>8</v>
      </c>
      <c r="E54" t="s">
        <v>11</v>
      </c>
      <c r="F54" s="5">
        <v>14.73</v>
      </c>
      <c r="G54">
        <v>5.34</v>
      </c>
      <c r="H54" s="6">
        <v>0.2</v>
      </c>
      <c r="J54" s="7">
        <v>52</v>
      </c>
      <c r="K54" s="7">
        <v>6</v>
      </c>
      <c r="L54" s="14">
        <v>44564</v>
      </c>
      <c r="M54" s="7" t="str">
        <v>001-CDC-003</v>
      </c>
      <c r="N54" s="7" t="str">
        <v>Hardware</v>
      </c>
      <c r="O54" s="7">
        <v>35.89</v>
      </c>
      <c r="P54" s="7">
        <v>0.57999999999999996</v>
      </c>
      <c r="Q54" s="7">
        <v>0.93</v>
      </c>
    </row>
    <row r="55" spans="1:17" x14ac:dyDescent="0.3">
      <c r="A55">
        <v>54</v>
      </c>
      <c r="B55">
        <v>4</v>
      </c>
      <c r="C55" s="4">
        <v>44623</v>
      </c>
      <c r="D55" s="4" t="s">
        <v>12</v>
      </c>
      <c r="E55" t="s">
        <v>10</v>
      </c>
      <c r="F55" s="5">
        <v>10</v>
      </c>
      <c r="G55">
        <v>2.7</v>
      </c>
      <c r="H55" s="6">
        <v>0.8</v>
      </c>
      <c r="J55" s="7">
        <v>54</v>
      </c>
      <c r="K55" s="7">
        <v>4</v>
      </c>
      <c r="L55" s="14">
        <v>44623</v>
      </c>
      <c r="M55" s="7" t="str">
        <v>001-ABC-003</v>
      </c>
      <c r="N55" s="7" t="str">
        <v>Hardware</v>
      </c>
      <c r="O55" s="7">
        <v>10</v>
      </c>
      <c r="P55" s="7">
        <v>2.7</v>
      </c>
      <c r="Q55" s="7">
        <v>0.8</v>
      </c>
    </row>
    <row r="56" spans="1:17" x14ac:dyDescent="0.3">
      <c r="A56">
        <v>55</v>
      </c>
      <c r="B56">
        <v>6</v>
      </c>
      <c r="C56" s="4">
        <v>44654</v>
      </c>
      <c r="D56" s="4" t="s">
        <v>13</v>
      </c>
      <c r="E56" t="s">
        <v>10</v>
      </c>
      <c r="F56" s="5">
        <v>32.56</v>
      </c>
      <c r="G56">
        <v>1.23</v>
      </c>
      <c r="H56" s="6">
        <v>0.49</v>
      </c>
      <c r="J56" s="7">
        <v>55</v>
      </c>
      <c r="K56" s="7">
        <v>6</v>
      </c>
      <c r="L56" s="14">
        <v>44654</v>
      </c>
      <c r="M56" s="7" t="str">
        <v>001-CDC-002</v>
      </c>
      <c r="N56" s="7" t="str">
        <v>Hardware</v>
      </c>
      <c r="O56" s="7">
        <v>32.56</v>
      </c>
      <c r="P56" s="7">
        <v>1.23</v>
      </c>
      <c r="Q56" s="7">
        <v>0.49</v>
      </c>
    </row>
    <row r="57" spans="1:17" x14ac:dyDescent="0.3">
      <c r="A57">
        <v>56</v>
      </c>
      <c r="B57">
        <v>4</v>
      </c>
      <c r="C57" s="4">
        <v>44684</v>
      </c>
      <c r="D57" s="4" t="s">
        <v>8</v>
      </c>
      <c r="E57" t="s">
        <v>11</v>
      </c>
      <c r="F57" s="5">
        <v>38.14</v>
      </c>
      <c r="G57">
        <v>3.23</v>
      </c>
      <c r="H57" s="6">
        <v>0.79</v>
      </c>
      <c r="J57" s="7">
        <v>57</v>
      </c>
      <c r="K57" s="7">
        <v>6</v>
      </c>
      <c r="L57" s="14">
        <v>44715</v>
      </c>
      <c r="M57" s="7" t="str">
        <v>001-CDC-001</v>
      </c>
      <c r="N57" s="7" t="str">
        <v>Hardware</v>
      </c>
      <c r="O57" s="7">
        <v>39.14</v>
      </c>
      <c r="P57" s="7">
        <v>2.42</v>
      </c>
      <c r="Q57" s="7">
        <v>0.9</v>
      </c>
    </row>
    <row r="58" spans="1:17" x14ac:dyDescent="0.3">
      <c r="A58">
        <v>57</v>
      </c>
      <c r="B58">
        <v>6</v>
      </c>
      <c r="C58" s="4">
        <v>44715</v>
      </c>
      <c r="D58" s="4" t="s">
        <v>9</v>
      </c>
      <c r="E58" t="s">
        <v>10</v>
      </c>
      <c r="F58" s="5">
        <v>39.14</v>
      </c>
      <c r="G58">
        <v>2.42</v>
      </c>
      <c r="H58" s="6">
        <v>0.9</v>
      </c>
      <c r="J58" s="7">
        <v>58</v>
      </c>
      <c r="K58" s="7">
        <v>5</v>
      </c>
      <c r="L58" s="14">
        <v>44745</v>
      </c>
      <c r="M58" s="7" t="str">
        <v>001-CDC-002</v>
      </c>
      <c r="N58" s="7" t="str">
        <v>Hardware</v>
      </c>
      <c r="O58" s="7">
        <v>55.14</v>
      </c>
      <c r="P58" s="7">
        <v>2.33</v>
      </c>
      <c r="Q58" s="7">
        <v>0.94</v>
      </c>
    </row>
    <row r="59" spans="1:17" x14ac:dyDescent="0.3">
      <c r="A59">
        <v>58</v>
      </c>
      <c r="B59">
        <v>5</v>
      </c>
      <c r="C59" s="4">
        <v>44745</v>
      </c>
      <c r="D59" s="4" t="s">
        <v>13</v>
      </c>
      <c r="E59" t="s">
        <v>10</v>
      </c>
      <c r="F59" s="5">
        <v>55.14</v>
      </c>
      <c r="G59">
        <v>2.33</v>
      </c>
      <c r="H59" s="6">
        <v>0.94</v>
      </c>
      <c r="J59" s="7">
        <v>60</v>
      </c>
      <c r="K59" s="7">
        <v>1</v>
      </c>
      <c r="L59" s="14">
        <v>44807</v>
      </c>
      <c r="M59" s="7" t="str">
        <v>001-ABC-003</v>
      </c>
      <c r="N59" s="7" t="str">
        <v>Hardware</v>
      </c>
      <c r="O59" s="7">
        <v>21.32</v>
      </c>
      <c r="P59" s="7">
        <v>4.12</v>
      </c>
      <c r="Q59" s="7">
        <v>0.32</v>
      </c>
    </row>
    <row r="60" spans="1:17" x14ac:dyDescent="0.3">
      <c r="A60">
        <v>59</v>
      </c>
      <c r="B60">
        <v>1</v>
      </c>
      <c r="C60" s="4">
        <v>44776</v>
      </c>
      <c r="D60" s="4" t="s">
        <v>8</v>
      </c>
      <c r="E60" t="s">
        <v>11</v>
      </c>
      <c r="F60" s="5">
        <v>22.32</v>
      </c>
      <c r="G60">
        <v>3.64</v>
      </c>
      <c r="H60" s="6">
        <v>0.51</v>
      </c>
      <c r="J60" s="7">
        <v>61</v>
      </c>
      <c r="K60" s="7">
        <v>2</v>
      </c>
      <c r="L60" s="14">
        <v>44837</v>
      </c>
      <c r="M60" s="7" t="str">
        <v>001-CDC-002</v>
      </c>
      <c r="N60" s="7" t="str">
        <v>Hardware</v>
      </c>
      <c r="O60" s="7">
        <v>22.32</v>
      </c>
      <c r="P60" s="7">
        <v>1.23</v>
      </c>
      <c r="Q60" s="7">
        <v>0.05</v>
      </c>
    </row>
    <row r="61" spans="1:17" x14ac:dyDescent="0.3">
      <c r="A61">
        <v>60</v>
      </c>
      <c r="B61">
        <v>1</v>
      </c>
      <c r="C61" s="4">
        <v>44807</v>
      </c>
      <c r="D61" s="4" t="s">
        <v>12</v>
      </c>
      <c r="E61" t="s">
        <v>10</v>
      </c>
      <c r="F61" s="5">
        <v>21.32</v>
      </c>
      <c r="G61">
        <v>4.12</v>
      </c>
      <c r="H61" s="6">
        <v>0.32</v>
      </c>
      <c r="J61" s="7">
        <v>63</v>
      </c>
      <c r="K61" s="7">
        <v>5</v>
      </c>
      <c r="L61" s="14">
        <v>44898</v>
      </c>
      <c r="M61" s="7" t="str">
        <v>001-CDC-001</v>
      </c>
      <c r="N61" s="7" t="str">
        <v>Hardware</v>
      </c>
      <c r="O61" s="7">
        <v>30.12</v>
      </c>
      <c r="P61" s="7">
        <v>2.0499999999999998</v>
      </c>
      <c r="Q61" s="7">
        <v>0.91</v>
      </c>
    </row>
    <row r="62" spans="1:17" x14ac:dyDescent="0.3">
      <c r="A62">
        <v>61</v>
      </c>
      <c r="B62">
        <v>2</v>
      </c>
      <c r="C62" s="4">
        <v>44837</v>
      </c>
      <c r="D62" s="4" t="s">
        <v>13</v>
      </c>
      <c r="E62" t="s">
        <v>10</v>
      </c>
      <c r="F62" s="5">
        <v>22.32</v>
      </c>
      <c r="G62">
        <v>1.23</v>
      </c>
      <c r="H62" s="6">
        <v>0.05</v>
      </c>
      <c r="J62" s="7">
        <v>64</v>
      </c>
      <c r="K62" s="7">
        <v>2</v>
      </c>
      <c r="L62" s="14">
        <v>44929</v>
      </c>
      <c r="M62" s="7" t="str">
        <v>001-CDC-001</v>
      </c>
      <c r="N62" s="7" t="str">
        <v>Hardware</v>
      </c>
      <c r="O62" s="7">
        <v>22.32</v>
      </c>
      <c r="P62" s="7">
        <v>3.21</v>
      </c>
      <c r="Q62" s="7">
        <v>0.45</v>
      </c>
    </row>
    <row r="63" spans="1:17" x14ac:dyDescent="0.3">
      <c r="A63">
        <v>62</v>
      </c>
      <c r="B63">
        <v>3</v>
      </c>
      <c r="C63" s="4">
        <v>44868</v>
      </c>
      <c r="D63" s="4" t="s">
        <v>8</v>
      </c>
      <c r="E63" t="s">
        <v>11</v>
      </c>
      <c r="F63" s="5">
        <v>72.319999999999993</v>
      </c>
      <c r="G63">
        <v>0.57999999999999996</v>
      </c>
      <c r="H63" s="6">
        <v>0.4</v>
      </c>
      <c r="J63" s="7">
        <v>66</v>
      </c>
      <c r="K63" s="7">
        <v>1</v>
      </c>
      <c r="L63" s="14">
        <v>44988</v>
      </c>
      <c r="M63" s="7" t="str">
        <v>001-ABC-003</v>
      </c>
      <c r="N63" s="7" t="str">
        <v>Hardware</v>
      </c>
      <c r="O63" s="7">
        <v>38.14</v>
      </c>
      <c r="P63" s="7">
        <v>5.34</v>
      </c>
      <c r="Q63" s="7">
        <v>0.1</v>
      </c>
    </row>
    <row r="64" spans="1:17" x14ac:dyDescent="0.3">
      <c r="A64">
        <v>63</v>
      </c>
      <c r="B64">
        <v>5</v>
      </c>
      <c r="C64" s="4">
        <v>44898</v>
      </c>
      <c r="D64" s="4" t="s">
        <v>9</v>
      </c>
      <c r="E64" t="s">
        <v>10</v>
      </c>
      <c r="F64" s="5">
        <v>30.12</v>
      </c>
      <c r="G64">
        <v>2.0499999999999998</v>
      </c>
      <c r="H64" s="6">
        <v>0.91</v>
      </c>
      <c r="J64" s="7">
        <v>67</v>
      </c>
      <c r="K64" s="7">
        <v>2</v>
      </c>
      <c r="L64" s="14">
        <v>45019</v>
      </c>
      <c r="M64" s="7" t="str">
        <v>001-CDC-002</v>
      </c>
      <c r="N64" s="7" t="str">
        <v>Hardware</v>
      </c>
      <c r="O64" s="7">
        <v>38.14</v>
      </c>
      <c r="P64" s="7">
        <v>2.7</v>
      </c>
      <c r="Q64" s="7">
        <v>0.72</v>
      </c>
    </row>
    <row r="65" spans="1:17" x14ac:dyDescent="0.3">
      <c r="A65">
        <v>64</v>
      </c>
      <c r="B65">
        <v>2</v>
      </c>
      <c r="C65" s="4">
        <v>44929</v>
      </c>
      <c r="D65" s="4" t="s">
        <v>9</v>
      </c>
      <c r="E65" t="s">
        <v>10</v>
      </c>
      <c r="F65" s="5">
        <v>22.32</v>
      </c>
      <c r="G65">
        <v>3.21</v>
      </c>
      <c r="H65" s="6">
        <v>0.45</v>
      </c>
      <c r="J65" s="7">
        <v>69</v>
      </c>
      <c r="K65" s="7">
        <v>1</v>
      </c>
      <c r="L65" s="14">
        <v>45080</v>
      </c>
      <c r="M65" s="7" t="str">
        <v>001-CDC-001</v>
      </c>
      <c r="N65" s="7" t="str">
        <v>Hardware</v>
      </c>
      <c r="O65" s="7">
        <v>92.32</v>
      </c>
      <c r="P65" s="7">
        <v>3.23</v>
      </c>
      <c r="Q65" s="7">
        <v>0.5</v>
      </c>
    </row>
    <row r="66" spans="1:17" x14ac:dyDescent="0.3">
      <c r="A66">
        <v>65</v>
      </c>
      <c r="B66">
        <v>2</v>
      </c>
      <c r="C66" s="4">
        <v>44960</v>
      </c>
      <c r="D66" s="4" t="s">
        <v>8</v>
      </c>
      <c r="E66" t="s">
        <v>11</v>
      </c>
      <c r="F66" s="5">
        <v>38.14</v>
      </c>
      <c r="G66">
        <v>4.2300000000000004</v>
      </c>
      <c r="H66" s="6">
        <v>0.56999999999999995</v>
      </c>
      <c r="J66" s="7">
        <v>70</v>
      </c>
      <c r="K66" s="7">
        <v>4</v>
      </c>
      <c r="L66" s="14">
        <v>45110</v>
      </c>
      <c r="M66" s="7" t="str">
        <v>001-CDC-001</v>
      </c>
      <c r="N66" s="7" t="str">
        <v>Hardware</v>
      </c>
      <c r="O66" s="7">
        <v>50</v>
      </c>
      <c r="P66" s="7">
        <v>2.15</v>
      </c>
      <c r="Q66" s="7">
        <v>0.67</v>
      </c>
    </row>
    <row r="67" spans="1:17" x14ac:dyDescent="0.3">
      <c r="A67">
        <v>66</v>
      </c>
      <c r="B67">
        <v>1</v>
      </c>
      <c r="C67" s="4">
        <v>44988</v>
      </c>
      <c r="D67" s="4" t="s">
        <v>12</v>
      </c>
      <c r="E67" t="s">
        <v>10</v>
      </c>
      <c r="F67" s="5">
        <v>38.14</v>
      </c>
      <c r="G67">
        <v>5.34</v>
      </c>
      <c r="H67" s="6">
        <v>0.1</v>
      </c>
      <c r="J67" s="7">
        <v>72</v>
      </c>
      <c r="K67" s="7">
        <v>2</v>
      </c>
      <c r="L67" s="14">
        <v>45172</v>
      </c>
      <c r="M67" s="7" t="str">
        <v>001-ABC-003</v>
      </c>
      <c r="N67" s="7" t="str">
        <v>Hardware</v>
      </c>
      <c r="O67" s="7">
        <v>32.56</v>
      </c>
      <c r="P67" s="7">
        <v>2.0499999999999998</v>
      </c>
      <c r="Q67" s="7">
        <v>0.31</v>
      </c>
    </row>
    <row r="68" spans="1:17" x14ac:dyDescent="0.3">
      <c r="A68">
        <v>67</v>
      </c>
      <c r="B68">
        <v>2</v>
      </c>
      <c r="C68" s="4">
        <v>45019</v>
      </c>
      <c r="D68" s="4" t="s">
        <v>13</v>
      </c>
      <c r="E68" t="s">
        <v>10</v>
      </c>
      <c r="F68" s="5">
        <v>38.14</v>
      </c>
      <c r="G68">
        <v>2.7</v>
      </c>
      <c r="H68" s="6">
        <v>0.72</v>
      </c>
      <c r="J68" s="7">
        <v>73</v>
      </c>
      <c r="K68" s="7">
        <v>1</v>
      </c>
      <c r="L68" s="14">
        <v>45202</v>
      </c>
      <c r="M68" s="7" t="str">
        <v>001-CDC-002</v>
      </c>
      <c r="N68" s="7" t="str">
        <v>Hardware</v>
      </c>
      <c r="O68" s="7">
        <v>38.14</v>
      </c>
      <c r="P68" s="7">
        <v>3.21</v>
      </c>
      <c r="Q68" s="7">
        <v>0.12</v>
      </c>
    </row>
    <row r="69" spans="1:17" x14ac:dyDescent="0.3">
      <c r="A69">
        <v>68</v>
      </c>
      <c r="B69">
        <v>2</v>
      </c>
      <c r="C69" s="4">
        <v>45049</v>
      </c>
      <c r="D69" s="4" t="s">
        <v>8</v>
      </c>
      <c r="E69" t="s">
        <v>11</v>
      </c>
      <c r="F69" s="5">
        <v>92.32</v>
      </c>
      <c r="G69">
        <v>1.23</v>
      </c>
      <c r="H69" s="6">
        <v>0.46</v>
      </c>
      <c r="J69" s="7">
        <v>94</v>
      </c>
      <c r="K69" s="7">
        <v>1</v>
      </c>
      <c r="L69" s="14">
        <v>45263</v>
      </c>
      <c r="M69" s="7" t="str">
        <v>001-CDC-001</v>
      </c>
      <c r="N69" s="7" t="str">
        <v>Hardware</v>
      </c>
      <c r="O69" s="7">
        <v>55.14</v>
      </c>
      <c r="P69" s="7">
        <v>5.34</v>
      </c>
      <c r="Q69" s="7">
        <v>0.82</v>
      </c>
    </row>
    <row r="70" spans="1:17" x14ac:dyDescent="0.3">
      <c r="A70">
        <v>69</v>
      </c>
      <c r="B70">
        <v>1</v>
      </c>
      <c r="C70" s="4">
        <v>45080</v>
      </c>
      <c r="D70" s="4" t="s">
        <v>9</v>
      </c>
      <c r="E70" t="s">
        <v>10</v>
      </c>
      <c r="F70" s="5">
        <v>92.32</v>
      </c>
      <c r="G70">
        <v>3.23</v>
      </c>
      <c r="H70" s="6">
        <v>0.5</v>
      </c>
      <c r="J70" s="7">
        <v>95</v>
      </c>
      <c r="K70" s="7">
        <v>6</v>
      </c>
      <c r="L70" s="14">
        <v>45294</v>
      </c>
      <c r="M70" s="7" t="str">
        <v>001-ABC-003</v>
      </c>
      <c r="N70" s="7" t="str">
        <v>Hardware</v>
      </c>
      <c r="O70" s="7">
        <v>22.32</v>
      </c>
      <c r="P70" s="7">
        <v>2.7</v>
      </c>
      <c r="Q70" s="7">
        <v>0.69</v>
      </c>
    </row>
    <row r="71" spans="1:17" x14ac:dyDescent="0.3">
      <c r="A71">
        <v>70</v>
      </c>
      <c r="B71">
        <v>4</v>
      </c>
      <c r="C71" s="4">
        <v>45110</v>
      </c>
      <c r="D71" s="4" t="s">
        <v>9</v>
      </c>
      <c r="E71" t="s">
        <v>10</v>
      </c>
      <c r="F71" s="5">
        <v>50</v>
      </c>
      <c r="G71">
        <v>2.15</v>
      </c>
      <c r="H71" s="6">
        <v>0.67</v>
      </c>
      <c r="J71" s="7">
        <v>97</v>
      </c>
      <c r="K71" s="7">
        <v>4</v>
      </c>
      <c r="L71" s="14">
        <v>45354</v>
      </c>
      <c r="M71" s="7" t="str">
        <v>001-CDC-001</v>
      </c>
      <c r="N71" s="7" t="str">
        <v>Hardware</v>
      </c>
      <c r="O71" s="7">
        <v>22.32</v>
      </c>
      <c r="P71" s="7">
        <v>3.23</v>
      </c>
      <c r="Q71" s="7">
        <v>0.91</v>
      </c>
    </row>
    <row r="72" spans="1:17" x14ac:dyDescent="0.3">
      <c r="A72">
        <v>71</v>
      </c>
      <c r="B72">
        <v>2</v>
      </c>
      <c r="C72" s="4">
        <v>45141</v>
      </c>
      <c r="D72" s="4" t="s">
        <v>8</v>
      </c>
      <c r="E72" t="s">
        <v>11</v>
      </c>
      <c r="F72" s="5">
        <v>100</v>
      </c>
      <c r="G72">
        <v>2.3199999999999998</v>
      </c>
      <c r="H72" s="6">
        <v>0.32</v>
      </c>
      <c r="J72" s="7">
        <v>98</v>
      </c>
      <c r="K72" s="7">
        <v>6</v>
      </c>
      <c r="L72" s="14">
        <v>45385</v>
      </c>
      <c r="M72" s="7" t="str">
        <v>001-CDC-001</v>
      </c>
      <c r="N72" s="7" t="str">
        <v>Hardware</v>
      </c>
      <c r="O72" s="7">
        <v>72.319999999999993</v>
      </c>
      <c r="P72" s="7">
        <v>2.42</v>
      </c>
      <c r="Q72" s="7">
        <v>0.39</v>
      </c>
    </row>
    <row r="73" spans="1:17" x14ac:dyDescent="0.3">
      <c r="A73">
        <v>72</v>
      </c>
      <c r="B73">
        <v>2</v>
      </c>
      <c r="C73" s="4">
        <v>45172</v>
      </c>
      <c r="D73" s="4" t="s">
        <v>12</v>
      </c>
      <c r="E73" t="s">
        <v>10</v>
      </c>
      <c r="F73" s="5">
        <v>32.56</v>
      </c>
      <c r="G73">
        <v>2.0499999999999998</v>
      </c>
      <c r="H73" s="6">
        <v>0.31</v>
      </c>
      <c r="J73" s="7">
        <v>100</v>
      </c>
      <c r="K73" s="7">
        <v>5</v>
      </c>
      <c r="L73" s="14">
        <v>45446</v>
      </c>
      <c r="M73" s="7" t="str">
        <v>001-CDC-003</v>
      </c>
      <c r="N73" s="7" t="str">
        <v>Hardware</v>
      </c>
      <c r="O73" s="7">
        <v>22.32</v>
      </c>
      <c r="P73" s="7">
        <v>3.64</v>
      </c>
      <c r="Q73" s="7">
        <v>0.84</v>
      </c>
    </row>
    <row r="74" spans="1:17" x14ac:dyDescent="0.3">
      <c r="A74">
        <v>73</v>
      </c>
      <c r="B74">
        <v>1</v>
      </c>
      <c r="C74" s="4">
        <v>45202</v>
      </c>
      <c r="D74" s="4" t="s">
        <v>13</v>
      </c>
      <c r="E74" t="s">
        <v>10</v>
      </c>
      <c r="F74" s="5">
        <v>38.14</v>
      </c>
      <c r="G74">
        <v>3.21</v>
      </c>
      <c r="H74" s="6">
        <v>0.12</v>
      </c>
      <c r="J74" s="7">
        <v>101</v>
      </c>
      <c r="K74" s="7">
        <v>6</v>
      </c>
      <c r="L74" s="14">
        <v>45476</v>
      </c>
      <c r="M74" s="7" t="str">
        <v>001-ABC-003</v>
      </c>
      <c r="N74" s="7" t="str">
        <v>Hardware</v>
      </c>
      <c r="O74" s="7">
        <v>38.14</v>
      </c>
      <c r="P74" s="7">
        <v>4.12</v>
      </c>
      <c r="Q74" s="7">
        <v>0.44</v>
      </c>
    </row>
    <row r="75" spans="1:17" x14ac:dyDescent="0.3">
      <c r="A75">
        <v>74</v>
      </c>
      <c r="B75">
        <v>5</v>
      </c>
      <c r="C75" s="4">
        <v>45233</v>
      </c>
      <c r="D75" s="4" t="s">
        <v>8</v>
      </c>
      <c r="E75" t="s">
        <v>11</v>
      </c>
      <c r="F75" s="5">
        <v>39.14</v>
      </c>
      <c r="G75">
        <v>4.2300000000000004</v>
      </c>
      <c r="H75" s="6">
        <v>0.44</v>
      </c>
      <c r="J75" s="7">
        <v>103</v>
      </c>
      <c r="K75" s="7">
        <v>3</v>
      </c>
      <c r="L75" s="14">
        <v>45538</v>
      </c>
      <c r="M75" s="7" t="str">
        <v>001-CDC-002</v>
      </c>
      <c r="N75" s="7" t="str">
        <v>Hardware</v>
      </c>
      <c r="O75" s="7">
        <v>38.14</v>
      </c>
      <c r="P75" s="7">
        <v>1.23</v>
      </c>
      <c r="Q75" s="7">
        <v>0.57999999999999996</v>
      </c>
    </row>
    <row r="76" spans="1:17" x14ac:dyDescent="0.3">
      <c r="A76">
        <v>75</v>
      </c>
      <c r="B76">
        <v>6</v>
      </c>
      <c r="C76" s="4">
        <v>45234</v>
      </c>
      <c r="D76" s="4" t="s">
        <v>8</v>
      </c>
      <c r="E76" t="s">
        <v>11</v>
      </c>
      <c r="F76" s="5">
        <v>2.12</v>
      </c>
      <c r="G76">
        <v>0</v>
      </c>
      <c r="H76" s="6">
        <v>0.1</v>
      </c>
      <c r="J76" s="7">
        <v>104</v>
      </c>
      <c r="K76" s="7">
        <v>4</v>
      </c>
      <c r="L76" s="14">
        <v>45568</v>
      </c>
      <c r="M76" s="7" t="str">
        <v>001-CDC-001</v>
      </c>
      <c r="N76" s="7" t="str">
        <v>Hardware</v>
      </c>
      <c r="O76" s="7">
        <v>92.32</v>
      </c>
      <c r="P76" s="7">
        <v>1.23</v>
      </c>
      <c r="Q76" s="7">
        <v>0.75</v>
      </c>
    </row>
    <row r="77" spans="1:17" x14ac:dyDescent="0.3">
      <c r="A77">
        <v>76</v>
      </c>
      <c r="B77">
        <v>3</v>
      </c>
      <c r="C77" s="4">
        <v>45235</v>
      </c>
      <c r="D77" s="4" t="s">
        <v>8</v>
      </c>
      <c r="E77" t="s">
        <v>11</v>
      </c>
      <c r="F77" s="5">
        <v>2.19</v>
      </c>
      <c r="G77">
        <v>0</v>
      </c>
      <c r="H77" s="6">
        <v>0.35</v>
      </c>
    </row>
    <row r="78" spans="1:17" x14ac:dyDescent="0.3">
      <c r="A78">
        <v>77</v>
      </c>
      <c r="B78">
        <v>5</v>
      </c>
      <c r="C78" s="4">
        <v>45236</v>
      </c>
      <c r="D78" s="4" t="s">
        <v>8</v>
      </c>
      <c r="E78" t="s">
        <v>11</v>
      </c>
      <c r="F78" s="5">
        <v>2.12</v>
      </c>
      <c r="G78">
        <v>0</v>
      </c>
      <c r="H78" s="6">
        <v>0.43</v>
      </c>
    </row>
    <row r="79" spans="1:17" x14ac:dyDescent="0.3">
      <c r="A79">
        <v>78</v>
      </c>
      <c r="B79">
        <v>4</v>
      </c>
      <c r="C79" s="4">
        <v>45237</v>
      </c>
      <c r="D79" s="4" t="s">
        <v>8</v>
      </c>
      <c r="E79" t="s">
        <v>11</v>
      </c>
      <c r="F79" s="5">
        <v>3.1</v>
      </c>
      <c r="G79">
        <v>0</v>
      </c>
      <c r="H79" s="6">
        <v>0.52</v>
      </c>
    </row>
    <row r="80" spans="1:17" x14ac:dyDescent="0.3">
      <c r="A80">
        <v>79</v>
      </c>
      <c r="B80">
        <v>4</v>
      </c>
      <c r="C80" s="4">
        <v>45238</v>
      </c>
      <c r="D80" s="4" t="s">
        <v>8</v>
      </c>
      <c r="E80" t="s">
        <v>11</v>
      </c>
      <c r="F80" s="5">
        <v>2.12</v>
      </c>
      <c r="G80">
        <v>0</v>
      </c>
      <c r="H80" s="6">
        <v>0.28000000000000003</v>
      </c>
    </row>
    <row r="81" spans="1:8" x14ac:dyDescent="0.3">
      <c r="A81">
        <v>80</v>
      </c>
      <c r="B81">
        <v>4</v>
      </c>
      <c r="C81" s="4">
        <v>45239</v>
      </c>
      <c r="D81" s="4" t="s">
        <v>8</v>
      </c>
      <c r="E81" t="s">
        <v>11</v>
      </c>
      <c r="F81" s="5">
        <v>4.2</v>
      </c>
      <c r="G81">
        <v>0</v>
      </c>
      <c r="H81" s="6">
        <v>0.87</v>
      </c>
    </row>
    <row r="82" spans="1:8" x14ac:dyDescent="0.3">
      <c r="A82">
        <v>81</v>
      </c>
      <c r="B82">
        <v>2</v>
      </c>
      <c r="C82" s="4">
        <v>45240</v>
      </c>
      <c r="D82" s="4" t="s">
        <v>8</v>
      </c>
      <c r="E82" t="s">
        <v>11</v>
      </c>
      <c r="F82" s="5">
        <v>2.12</v>
      </c>
      <c r="G82">
        <v>0</v>
      </c>
      <c r="H82" s="6">
        <v>0.55000000000000004</v>
      </c>
    </row>
    <row r="83" spans="1:8" x14ac:dyDescent="0.3">
      <c r="A83">
        <v>82</v>
      </c>
      <c r="B83">
        <v>2</v>
      </c>
      <c r="C83" s="4">
        <v>45241</v>
      </c>
      <c r="D83" s="4" t="s">
        <v>8</v>
      </c>
      <c r="E83" t="s">
        <v>11</v>
      </c>
      <c r="F83" s="5">
        <v>3.1</v>
      </c>
      <c r="G83">
        <v>0</v>
      </c>
      <c r="H83" s="6">
        <v>0.4</v>
      </c>
    </row>
    <row r="84" spans="1:8" x14ac:dyDescent="0.3">
      <c r="A84">
        <v>83</v>
      </c>
      <c r="B84">
        <v>1</v>
      </c>
      <c r="C84" s="4">
        <v>45242</v>
      </c>
      <c r="D84" s="4" t="s">
        <v>8</v>
      </c>
      <c r="E84" t="s">
        <v>11</v>
      </c>
      <c r="F84" s="5">
        <v>2.12</v>
      </c>
      <c r="G84">
        <v>0</v>
      </c>
      <c r="H84" s="6">
        <v>0.96</v>
      </c>
    </row>
    <row r="85" spans="1:8" x14ac:dyDescent="0.3">
      <c r="A85">
        <v>84</v>
      </c>
      <c r="B85">
        <v>3</v>
      </c>
      <c r="C85" s="4">
        <v>45243</v>
      </c>
      <c r="D85" s="4" t="s">
        <v>8</v>
      </c>
      <c r="E85" t="s">
        <v>11</v>
      </c>
      <c r="F85" s="5">
        <v>4.2</v>
      </c>
      <c r="G85">
        <v>0</v>
      </c>
      <c r="H85" s="6">
        <v>0.8</v>
      </c>
    </row>
    <row r="86" spans="1:8" x14ac:dyDescent="0.3">
      <c r="A86">
        <v>85</v>
      </c>
      <c r="B86">
        <v>5</v>
      </c>
      <c r="C86" s="4">
        <v>45244</v>
      </c>
      <c r="D86" s="4" t="s">
        <v>8</v>
      </c>
      <c r="E86" t="s">
        <v>11</v>
      </c>
      <c r="F86" s="5">
        <v>2.12</v>
      </c>
      <c r="G86">
        <v>0</v>
      </c>
      <c r="H86" s="6">
        <v>0.34</v>
      </c>
    </row>
    <row r="87" spans="1:8" x14ac:dyDescent="0.3">
      <c r="A87">
        <v>86</v>
      </c>
      <c r="B87">
        <v>6</v>
      </c>
      <c r="C87" s="4">
        <v>45245</v>
      </c>
      <c r="D87" s="4" t="s">
        <v>8</v>
      </c>
      <c r="E87" t="s">
        <v>11</v>
      </c>
      <c r="F87" s="5">
        <v>3.1</v>
      </c>
      <c r="G87">
        <v>0</v>
      </c>
      <c r="H87" s="6">
        <v>0.45</v>
      </c>
    </row>
    <row r="88" spans="1:8" x14ac:dyDescent="0.3">
      <c r="A88">
        <v>87</v>
      </c>
      <c r="B88">
        <v>4</v>
      </c>
      <c r="C88" s="4">
        <v>45246</v>
      </c>
      <c r="D88" s="4" t="s">
        <v>8</v>
      </c>
      <c r="E88" t="s">
        <v>11</v>
      </c>
      <c r="F88" s="5">
        <v>2.12</v>
      </c>
      <c r="G88">
        <v>0</v>
      </c>
      <c r="H88" s="6">
        <v>0.4</v>
      </c>
    </row>
    <row r="89" spans="1:8" x14ac:dyDescent="0.3">
      <c r="A89">
        <v>88</v>
      </c>
      <c r="B89">
        <v>5</v>
      </c>
      <c r="C89" s="4">
        <v>45247</v>
      </c>
      <c r="D89" s="4" t="s">
        <v>8</v>
      </c>
      <c r="E89" t="s">
        <v>11</v>
      </c>
      <c r="F89" s="5">
        <v>2.12</v>
      </c>
      <c r="G89">
        <v>0</v>
      </c>
      <c r="H89" s="6">
        <v>0.79</v>
      </c>
    </row>
    <row r="90" spans="1:8" x14ac:dyDescent="0.3">
      <c r="A90">
        <v>89</v>
      </c>
      <c r="B90">
        <v>5</v>
      </c>
      <c r="C90" s="4">
        <v>45248</v>
      </c>
      <c r="D90" s="4" t="s">
        <v>8</v>
      </c>
      <c r="E90" t="s">
        <v>11</v>
      </c>
      <c r="F90" s="5">
        <v>4.2</v>
      </c>
      <c r="G90">
        <v>0</v>
      </c>
      <c r="H90" s="6">
        <v>0.2</v>
      </c>
    </row>
    <row r="91" spans="1:8" x14ac:dyDescent="0.3">
      <c r="A91">
        <v>90</v>
      </c>
      <c r="B91">
        <v>4</v>
      </c>
      <c r="C91" s="4">
        <v>45249</v>
      </c>
      <c r="D91" s="4" t="s">
        <v>8</v>
      </c>
      <c r="E91" t="s">
        <v>11</v>
      </c>
      <c r="F91" s="5">
        <v>2.12</v>
      </c>
      <c r="G91">
        <v>0</v>
      </c>
      <c r="H91" s="6">
        <v>0.13</v>
      </c>
    </row>
    <row r="92" spans="1:8" x14ac:dyDescent="0.3">
      <c r="A92">
        <v>91</v>
      </c>
      <c r="B92">
        <v>6</v>
      </c>
      <c r="C92" s="4">
        <v>45250</v>
      </c>
      <c r="D92" s="4" t="s">
        <v>8</v>
      </c>
      <c r="E92" t="s">
        <v>11</v>
      </c>
      <c r="F92" s="5">
        <v>2.12</v>
      </c>
      <c r="G92">
        <v>0</v>
      </c>
      <c r="H92" s="6">
        <v>0.7</v>
      </c>
    </row>
    <row r="93" spans="1:8" x14ac:dyDescent="0.3">
      <c r="A93">
        <v>92</v>
      </c>
      <c r="B93">
        <v>1</v>
      </c>
      <c r="C93" s="4">
        <v>45251</v>
      </c>
      <c r="D93" s="4" t="s">
        <v>8</v>
      </c>
      <c r="E93" t="s">
        <v>11</v>
      </c>
      <c r="F93" s="5">
        <v>4.2</v>
      </c>
      <c r="G93">
        <v>0</v>
      </c>
      <c r="H93" s="6">
        <v>0.69</v>
      </c>
    </row>
    <row r="94" spans="1:8" x14ac:dyDescent="0.3">
      <c r="A94">
        <v>93</v>
      </c>
      <c r="B94">
        <v>1</v>
      </c>
      <c r="C94" s="4">
        <v>45252</v>
      </c>
      <c r="D94" s="4" t="s">
        <v>8</v>
      </c>
      <c r="E94" t="s">
        <v>11</v>
      </c>
      <c r="F94" s="5">
        <v>2.12</v>
      </c>
      <c r="G94">
        <v>0</v>
      </c>
      <c r="H94" s="6">
        <v>0.76</v>
      </c>
    </row>
    <row r="95" spans="1:8" x14ac:dyDescent="0.3">
      <c r="A95">
        <v>94</v>
      </c>
      <c r="B95">
        <v>1</v>
      </c>
      <c r="C95" s="4">
        <v>45263</v>
      </c>
      <c r="D95" s="4" t="s">
        <v>9</v>
      </c>
      <c r="E95" t="s">
        <v>10</v>
      </c>
      <c r="F95" s="5">
        <v>55.14</v>
      </c>
      <c r="G95">
        <v>5.34</v>
      </c>
      <c r="H95" s="6">
        <v>0.82</v>
      </c>
    </row>
    <row r="96" spans="1:8" x14ac:dyDescent="0.3">
      <c r="A96">
        <v>95</v>
      </c>
      <c r="B96">
        <v>6</v>
      </c>
      <c r="C96" s="4">
        <v>45294</v>
      </c>
      <c r="D96" s="4" t="s">
        <v>12</v>
      </c>
      <c r="E96" t="s">
        <v>10</v>
      </c>
      <c r="F96" s="5">
        <v>22.32</v>
      </c>
      <c r="G96">
        <v>2.7</v>
      </c>
      <c r="H96" s="6">
        <v>0.69</v>
      </c>
    </row>
    <row r="97" spans="1:8" x14ac:dyDescent="0.3">
      <c r="A97">
        <v>96</v>
      </c>
      <c r="B97">
        <v>4</v>
      </c>
      <c r="C97" s="4">
        <v>45331</v>
      </c>
      <c r="D97" s="4" t="s">
        <v>8</v>
      </c>
      <c r="E97" t="s">
        <v>11</v>
      </c>
      <c r="F97" s="5">
        <v>21.32</v>
      </c>
      <c r="G97">
        <v>1.23</v>
      </c>
      <c r="H97" s="6">
        <v>0.5</v>
      </c>
    </row>
    <row r="98" spans="1:8" x14ac:dyDescent="0.3">
      <c r="A98">
        <v>97</v>
      </c>
      <c r="B98">
        <v>4</v>
      </c>
      <c r="C98" s="4">
        <v>45354</v>
      </c>
      <c r="D98" s="4" t="s">
        <v>9</v>
      </c>
      <c r="E98" t="s">
        <v>10</v>
      </c>
      <c r="F98" s="5">
        <v>22.32</v>
      </c>
      <c r="G98">
        <v>3.23</v>
      </c>
      <c r="H98" s="6">
        <v>0.91</v>
      </c>
    </row>
    <row r="99" spans="1:8" x14ac:dyDescent="0.3">
      <c r="A99">
        <v>98</v>
      </c>
      <c r="B99">
        <v>6</v>
      </c>
      <c r="C99" s="4">
        <v>45385</v>
      </c>
      <c r="D99" s="4" t="s">
        <v>9</v>
      </c>
      <c r="E99" t="s">
        <v>10</v>
      </c>
      <c r="F99" s="5">
        <v>72.319999999999993</v>
      </c>
      <c r="G99">
        <v>2.42</v>
      </c>
      <c r="H99" s="6">
        <v>0.39</v>
      </c>
    </row>
    <row r="100" spans="1:8" x14ac:dyDescent="0.3">
      <c r="A100">
        <v>99</v>
      </c>
      <c r="B100">
        <v>5</v>
      </c>
      <c r="C100" s="4">
        <v>45415</v>
      </c>
      <c r="D100" s="4" t="s">
        <v>8</v>
      </c>
      <c r="E100" t="s">
        <v>11</v>
      </c>
      <c r="F100" s="5">
        <v>30.12</v>
      </c>
      <c r="G100">
        <v>2.33</v>
      </c>
      <c r="H100" s="6">
        <v>0.71</v>
      </c>
    </row>
    <row r="101" spans="1:8" x14ac:dyDescent="0.3">
      <c r="A101">
        <v>100</v>
      </c>
      <c r="B101">
        <v>5</v>
      </c>
      <c r="C101" s="4">
        <v>45446</v>
      </c>
      <c r="D101" s="4" t="s">
        <v>14</v>
      </c>
      <c r="E101" t="s">
        <v>10</v>
      </c>
      <c r="F101" s="5">
        <v>22.32</v>
      </c>
      <c r="G101">
        <v>3.64</v>
      </c>
      <c r="H101" s="6">
        <v>0.84</v>
      </c>
    </row>
    <row r="102" spans="1:8" x14ac:dyDescent="0.3">
      <c r="A102">
        <v>101</v>
      </c>
      <c r="B102">
        <v>6</v>
      </c>
      <c r="C102" s="4">
        <v>45476</v>
      </c>
      <c r="D102" s="4" t="s">
        <v>12</v>
      </c>
      <c r="E102" t="s">
        <v>10</v>
      </c>
      <c r="F102" s="5">
        <v>38.14</v>
      </c>
      <c r="G102">
        <v>4.12</v>
      </c>
      <c r="H102" s="6">
        <v>0.44</v>
      </c>
    </row>
    <row r="103" spans="1:8" x14ac:dyDescent="0.3">
      <c r="A103">
        <v>102</v>
      </c>
      <c r="B103">
        <v>6</v>
      </c>
      <c r="C103" s="4">
        <v>45507</v>
      </c>
      <c r="D103" s="4" t="s">
        <v>8</v>
      </c>
      <c r="E103" t="s">
        <v>11</v>
      </c>
      <c r="F103" s="5">
        <v>38.14</v>
      </c>
      <c r="G103">
        <v>1.23</v>
      </c>
      <c r="H103" s="6">
        <v>0.4</v>
      </c>
    </row>
    <row r="104" spans="1:8" x14ac:dyDescent="0.3">
      <c r="A104">
        <v>103</v>
      </c>
      <c r="B104">
        <v>3</v>
      </c>
      <c r="C104" s="4">
        <v>45538</v>
      </c>
      <c r="D104" s="4" t="s">
        <v>13</v>
      </c>
      <c r="E104" t="s">
        <v>10</v>
      </c>
      <c r="F104" s="5">
        <v>38.14</v>
      </c>
      <c r="G104">
        <v>1.23</v>
      </c>
      <c r="H104" s="6">
        <v>0.57999999999999996</v>
      </c>
    </row>
    <row r="105" spans="1:8" x14ac:dyDescent="0.3">
      <c r="A105">
        <v>104</v>
      </c>
      <c r="B105">
        <v>4</v>
      </c>
      <c r="C105" s="4">
        <v>45568</v>
      </c>
      <c r="D105" s="4" t="s">
        <v>9</v>
      </c>
      <c r="E105" t="s">
        <v>10</v>
      </c>
      <c r="F105" s="5">
        <v>92.32</v>
      </c>
      <c r="G105">
        <v>1.23</v>
      </c>
      <c r="H105" s="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Fatture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A</dc:creator>
  <cp:lastModifiedBy>Nicola A</cp:lastModifiedBy>
  <dcterms:created xsi:type="dcterms:W3CDTF">2026-03-09T14:45:32Z</dcterms:created>
  <dcterms:modified xsi:type="dcterms:W3CDTF">2026-03-09T14:57:43Z</dcterms:modified>
</cp:coreProperties>
</file>