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to\Desktop\Corso_excel_avanzato\"/>
    </mc:Choice>
  </mc:AlternateContent>
  <xr:revisionPtr revIDLastSave="0" documentId="13_ncr:1_{9896500B-549D-42D5-8FF7-A47455EB9D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ture" sheetId="1" r:id="rId1"/>
    <sheet name="Data Analysis" sheetId="6" r:id="rId2"/>
    <sheet name="Let_Stack_vert" sheetId="7" r:id="rId3"/>
    <sheet name="Tabella" sheetId="8" r:id="rId4"/>
    <sheet name="Python" sheetId="9" r:id="rId5"/>
    <sheet name="Clienti" sheetId="2" r:id="rId6"/>
  </sheets>
  <definedNames>
    <definedName name="_xlnm._FilterDatabase" localSheetId="1" hidden="1">'Data Analysis'!$A$1:$H$105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K2" i="8" a="1"/>
  <c r="K2" i="8" s="1"/>
  <c r="K7" i="7" a="1"/>
  <c r="K7" i="7" s="1"/>
  <c r="K2" i="7" a="1"/>
  <c r="K2" i="7" s="1"/>
  <c r="J4" i="6" a="1"/>
  <c r="J4" i="6" s="1"/>
  <c r="J19" i="1" a="1"/>
  <c r="J19" i="1" s="1"/>
  <c r="J7" i="1" a="1"/>
  <c r="J7" i="1" s="1"/>
  <c r="J1" i="1" a="1"/>
  <c r="J1" i="1" s="1"/>
  <c r="L2" i="9" a="1"/>
  <c r="L2" i="9" l="1"/>
  <c r="S4" i="6" a="1"/>
  <c r="M10" i="9" a="1"/>
  <c r="M10" i="9" l="1"/>
  <c r="S4" i="6"/>
  <c r="AB4" i="6" a="1"/>
  <c r="AB4" i="6" s="1"/>
  <c r="M22" i="9" a="1"/>
  <c r="M22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fatture = xl(%P2%, headers=True)
fatture.query("Categoria == 'Software' ").sort_values(by="Spesa",ascending=False).head(3)[["NumeroFattura"]]</code>
    </pythonScript>
    <pythonScript>
      <code xml:space="preserve">df = xl(%P2%, headers=True)
df.describe()
</code>
    </pythonScript>
    <pythonScript>
      <code xml:space="preserve">import seaborn as sns
import matplotlib.pyplot as plt
df = xl(%P2%, headers=True)
sns.violinplot(y=df['Spesa'],  color='skyblue')
</code>
    </pythonScript>
  </pythonScripts>
</python>
</file>

<file path=xl/sharedStrings.xml><?xml version="1.0" encoding="utf-8"?>
<sst xmlns="http://schemas.openxmlformats.org/spreadsheetml/2006/main" count="1123" uniqueCount="28">
  <si>
    <t>NumeroFattura</t>
  </si>
  <si>
    <t>IdCliente</t>
  </si>
  <si>
    <t>DataFattura</t>
  </si>
  <si>
    <t>CodiceProdotto</t>
  </si>
  <si>
    <t>Categoria</t>
  </si>
  <si>
    <t>Spesa</t>
  </si>
  <si>
    <t>Commissioni</t>
  </si>
  <si>
    <t>Percentuale</t>
  </si>
  <si>
    <t>001-SFT-001</t>
  </si>
  <si>
    <t>Software</t>
  </si>
  <si>
    <t>001-CDC-001</t>
  </si>
  <si>
    <t>Hardware</t>
  </si>
  <si>
    <t>001-ABC-003</t>
  </si>
  <si>
    <t>001-CDC-002</t>
  </si>
  <si>
    <t>001-CDC-003</t>
  </si>
  <si>
    <t>Nome</t>
  </si>
  <si>
    <t>Nicola</t>
  </si>
  <si>
    <t>Francesco</t>
  </si>
  <si>
    <t>Maria</t>
  </si>
  <si>
    <t>Marco</t>
  </si>
  <si>
    <t>Franco</t>
  </si>
  <si>
    <t>Regione</t>
  </si>
  <si>
    <t>Molise</t>
  </si>
  <si>
    <t>Lombardia</t>
  </si>
  <si>
    <t>Piemonte</t>
  </si>
  <si>
    <t>Consulenza</t>
  </si>
  <si>
    <t>Le tre fatture con spesa più alta tra quelle relative a prodotti della categoria software</t>
  </si>
  <si>
    <t>percentuale*2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</si>
</sst>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0" fillId="2" borderId="2" xfId="0" applyFill="1" applyBorder="1"/>
    <xf numFmtId="0" fontId="0" fillId="2" borderId="3" xfId="0" applyFill="1" applyBorder="1"/>
    <xf numFmtId="0" fontId="3" fillId="3" borderId="5" xfId="0" applyFon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164" fontId="3" fillId="3" borderId="1" xfId="0" applyNumberFormat="1" applyFont="1" applyFill="1" applyBorder="1"/>
    <xf numFmtId="0" fontId="3" fillId="3" borderId="6" xfId="0" applyFont="1" applyFill="1" applyBorder="1"/>
    <xf numFmtId="0" fontId="0" fillId="2" borderId="5" xfId="0" applyFill="1" applyBorder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10" fontId="0" fillId="2" borderId="1" xfId="1" applyNumberFormat="1" applyFont="1" applyFill="1" applyBorder="1"/>
    <xf numFmtId="10" fontId="0" fillId="2" borderId="6" xfId="1" applyNumberFormat="1" applyFont="1" applyFill="1" applyBorder="1"/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0" fontId="0" fillId="0" borderId="1" xfId="1" applyNumberFormat="1" applyFont="1" applyBorder="1"/>
    <xf numFmtId="10" fontId="0" fillId="0" borderId="6" xfId="1" applyNumberFormat="1" applyFont="1" applyBorder="1"/>
    <xf numFmtId="14" fontId="0" fillId="2" borderId="3" xfId="0" applyNumberFormat="1" applyFill="1" applyBorder="1"/>
    <xf numFmtId="164" fontId="0" fillId="2" borderId="3" xfId="0" applyNumberFormat="1" applyFill="1" applyBorder="1"/>
    <xf numFmtId="10" fontId="0" fillId="2" borderId="3" xfId="1" applyNumberFormat="1" applyFont="1" applyFill="1" applyBorder="1"/>
    <xf numFmtId="10" fontId="0" fillId="2" borderId="4" xfId="1" applyNumberFormat="1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668793645753275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Fatture!$K$1</c:f>
              <c:strCache>
                <c:ptCount val="1"/>
                <c:pt idx="0">
                  <c:v>Spesa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B9-4451-8631-4134AA286F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9-4451-8631-4134AA286F48}"/>
              </c:ext>
            </c:extLst>
          </c:dPt>
          <c:cat>
            <c:strRef>
              <c:f>Fatture!$J$2:$J$3</c:f>
              <c:strCache>
                <c:ptCount val="2"/>
                <c:pt idx="0">
                  <c:v>Hardware</c:v>
                </c:pt>
                <c:pt idx="1">
                  <c:v>Software</c:v>
                </c:pt>
              </c:strCache>
            </c:strRef>
          </c:cat>
          <c:val>
            <c:numRef>
              <c:f>Fatture!$K$2:$K$3</c:f>
              <c:numCache>
                <c:formatCode>General</c:formatCode>
                <c:ptCount val="2"/>
                <c:pt idx="0">
                  <c:v>2190.46</c:v>
                </c:pt>
                <c:pt idx="1">
                  <c:v>1630.8599999999988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D-4C59-93B3-FC447DE1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589722</xdr:colOff>
      <xdr:row>23</xdr:row>
      <xdr:rowOff>42996</xdr:rowOff>
    </xdr:from>
    <xdr:to>
      <xdr:col>12</xdr:col>
      <xdr:colOff>845794</xdr:colOff>
      <xdr:row>35</xdr:row>
      <xdr:rowOff>175810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B15CA2C-2FF7-C71D-49C0-FBA4D1DCB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fb>44391.240384615383</fb>
    <v>0</v>
  </rv>
  <rv s="0">
    <fb>42012</fb>
    <v>1</v>
  </rv>
  <rv s="0">
    <fb>43794.5</fb>
    <v>0</v>
  </rv>
  <rv s="0">
    <fb>44579.5</fb>
    <v>0</v>
  </rv>
  <rv s="0">
    <fb>45237.25</fb>
    <v>0</v>
  </rv>
  <rv s="0">
    <fb>45568</fb>
    <v>1</v>
  </rv>
  <rv s="1">
    <v>0</v>
    <v>9</v>
    <v>Immagine generata da Python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27" formatCode="dd/mm/yyyy\ hh:mm"/>
    </x:dxf>
  </dxfs>
  <richStyles>
    <rSty dxfid="1"/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topLeftCell="B1" zoomScale="115" zoomScaleNormal="115" workbookViewId="0">
      <selection activeCell="B2" sqref="B2"/>
    </sheetView>
  </sheetViews>
  <sheetFormatPr defaultRowHeight="14.4" x14ac:dyDescent="0.3"/>
  <cols>
    <col min="1" max="1" width="14.77734375" bestFit="1" customWidth="1"/>
    <col min="2" max="2" width="9" bestFit="1" customWidth="1"/>
    <col min="3" max="3" width="12" bestFit="1" customWidth="1"/>
    <col min="4" max="4" width="14.77734375" bestFit="1" customWidth="1"/>
    <col min="5" max="6" width="9.88671875" bestFit="1" customWidth="1"/>
    <col min="7" max="7" width="12" bestFit="1" customWidth="1"/>
    <col min="8" max="8" width="11.6640625" bestFit="1" customWidth="1"/>
    <col min="10" max="10" width="14" bestFit="1" customWidth="1"/>
    <col min="11" max="12" width="12" bestFit="1" customWidth="1"/>
    <col min="13" max="13" width="12.6640625" bestFit="1" customWidth="1"/>
    <col min="14" max="14" width="12" bestFit="1" customWidth="1"/>
    <col min="15" max="15" width="11.3320312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J1" t="str" cm="1">
        <f t="array" ref="J1:K3">_xlfn.GROUPBY(E1:E105,F1:F105,_xleta.SUM,3,0)</f>
        <v>Categoria</v>
      </c>
      <c r="K1" t="str">
        <v>Spesa</v>
      </c>
    </row>
    <row r="2" spans="1:13" x14ac:dyDescent="0.3">
      <c r="A2">
        <v>1</v>
      </c>
      <c r="B2">
        <v>2</v>
      </c>
      <c r="C2" s="4">
        <v>42012</v>
      </c>
      <c r="D2" s="4" t="s">
        <v>8</v>
      </c>
      <c r="E2" t="s">
        <v>9</v>
      </c>
      <c r="F2" s="5">
        <v>35</v>
      </c>
      <c r="G2">
        <v>1.35</v>
      </c>
      <c r="H2" s="6">
        <v>7.0000000000000007E-2</v>
      </c>
      <c r="J2" t="str">
        <v>Hardware</v>
      </c>
      <c r="K2">
        <v>2190.46</v>
      </c>
    </row>
    <row r="3" spans="1:13" x14ac:dyDescent="0.3">
      <c r="A3">
        <v>2</v>
      </c>
      <c r="B3">
        <v>2</v>
      </c>
      <c r="C3" s="4">
        <v>42012</v>
      </c>
      <c r="D3" s="4" t="s">
        <v>10</v>
      </c>
      <c r="E3" t="s">
        <v>11</v>
      </c>
      <c r="F3" s="5">
        <v>25.17</v>
      </c>
      <c r="G3">
        <v>3.21</v>
      </c>
      <c r="H3" s="6">
        <v>0.16</v>
      </c>
      <c r="J3" t="str">
        <v>Software</v>
      </c>
      <c r="K3">
        <v>1630.8599999999988</v>
      </c>
    </row>
    <row r="4" spans="1:13" x14ac:dyDescent="0.3">
      <c r="A4">
        <v>3</v>
      </c>
      <c r="B4">
        <v>5</v>
      </c>
      <c r="C4" s="4">
        <v>42038</v>
      </c>
      <c r="D4" s="4" t="s">
        <v>8</v>
      </c>
      <c r="E4" t="s">
        <v>9</v>
      </c>
      <c r="F4" s="5">
        <v>38.14</v>
      </c>
      <c r="G4">
        <v>2.41</v>
      </c>
      <c r="H4" s="6">
        <v>0.2</v>
      </c>
    </row>
    <row r="5" spans="1:13" x14ac:dyDescent="0.3">
      <c r="A5">
        <v>4</v>
      </c>
      <c r="B5">
        <v>4</v>
      </c>
      <c r="C5" s="4">
        <v>42066</v>
      </c>
      <c r="D5" s="4" t="s">
        <v>8</v>
      </c>
      <c r="E5" t="s">
        <v>11</v>
      </c>
      <c r="F5" s="5">
        <v>39.14</v>
      </c>
      <c r="G5">
        <v>2.15</v>
      </c>
      <c r="H5" s="6">
        <v>0.46</v>
      </c>
    </row>
    <row r="6" spans="1:13" x14ac:dyDescent="0.3">
      <c r="A6">
        <v>5</v>
      </c>
      <c r="B6">
        <v>6</v>
      </c>
      <c r="C6" s="4">
        <v>42467</v>
      </c>
      <c r="D6" s="4" t="s">
        <v>10</v>
      </c>
      <c r="E6" t="s">
        <v>9</v>
      </c>
      <c r="F6" s="5">
        <v>55.14</v>
      </c>
      <c r="G6">
        <v>2.3199999999999998</v>
      </c>
      <c r="H6" s="6">
        <v>0.66</v>
      </c>
    </row>
    <row r="7" spans="1:13" x14ac:dyDescent="0.3">
      <c r="A7">
        <v>6</v>
      </c>
      <c r="B7">
        <v>3</v>
      </c>
      <c r="C7" s="4">
        <v>42491</v>
      </c>
      <c r="D7" s="4" t="s">
        <v>12</v>
      </c>
      <c r="E7" t="s">
        <v>11</v>
      </c>
      <c r="F7" s="5">
        <v>22.32</v>
      </c>
      <c r="G7">
        <v>2.0499999999999998</v>
      </c>
      <c r="H7" s="6">
        <v>0.56999999999999995</v>
      </c>
      <c r="J7" t="str" cm="1">
        <f t="array" ref="J7:M15">_xlfn.GROUPBY(D1:E105,F1:F105,_xlfn.HSTACK(_xleta.SUM,_xleta.AVERAGE),3,0,{1,2})</f>
        <v/>
      </c>
      <c r="K7" t="str">
        <v/>
      </c>
      <c r="L7" t="str">
        <v>SOMMA</v>
      </c>
      <c r="M7" t="str">
        <v>MEDIA</v>
      </c>
    </row>
    <row r="8" spans="1:13" x14ac:dyDescent="0.3">
      <c r="A8">
        <v>7</v>
      </c>
      <c r="B8">
        <v>6</v>
      </c>
      <c r="C8" s="4">
        <v>42583</v>
      </c>
      <c r="D8" s="4" t="s">
        <v>10</v>
      </c>
      <c r="E8" t="s">
        <v>11</v>
      </c>
      <c r="F8" s="5">
        <v>21.32</v>
      </c>
      <c r="G8">
        <v>3.21</v>
      </c>
      <c r="H8" s="6">
        <v>0.18</v>
      </c>
      <c r="J8" t="str">
        <v>CodiceProdotto</v>
      </c>
      <c r="K8" t="str">
        <v>Categoria</v>
      </c>
      <c r="L8" t="str">
        <v>Spesa</v>
      </c>
      <c r="M8" t="str">
        <v>Spesa</v>
      </c>
    </row>
    <row r="9" spans="1:13" x14ac:dyDescent="0.3">
      <c r="A9">
        <v>8</v>
      </c>
      <c r="B9">
        <v>5</v>
      </c>
      <c r="C9" s="4">
        <v>42654</v>
      </c>
      <c r="D9" s="4" t="s">
        <v>8</v>
      </c>
      <c r="E9" t="s">
        <v>9</v>
      </c>
      <c r="F9" s="5">
        <v>22.32</v>
      </c>
      <c r="G9">
        <v>4.2300000000000004</v>
      </c>
      <c r="H9" s="6">
        <v>0.26</v>
      </c>
      <c r="J9" t="str">
        <v>001-ABC-003</v>
      </c>
      <c r="K9" t="str">
        <v>Hardware</v>
      </c>
      <c r="L9">
        <v>644.8599999999999</v>
      </c>
      <c r="M9">
        <v>40.303749999999994</v>
      </c>
    </row>
    <row r="10" spans="1:13" x14ac:dyDescent="0.3">
      <c r="A10">
        <v>9</v>
      </c>
      <c r="B10">
        <v>6</v>
      </c>
      <c r="C10" s="4">
        <v>43019</v>
      </c>
      <c r="D10" s="4" t="s">
        <v>8</v>
      </c>
      <c r="E10" t="s">
        <v>9</v>
      </c>
      <c r="F10" s="5">
        <v>72.319999999999993</v>
      </c>
      <c r="G10">
        <v>5.34</v>
      </c>
      <c r="H10" s="6">
        <v>0.37</v>
      </c>
      <c r="J10" t="str">
        <v>001-CDC-001</v>
      </c>
      <c r="K10" t="str">
        <v>Hardware</v>
      </c>
      <c r="L10">
        <v>771.68999999999983</v>
      </c>
      <c r="M10">
        <v>42.871666666666655</v>
      </c>
    </row>
    <row r="11" spans="1:13" x14ac:dyDescent="0.3">
      <c r="A11">
        <v>10</v>
      </c>
      <c r="B11">
        <v>1</v>
      </c>
      <c r="C11" s="4">
        <v>43025</v>
      </c>
      <c r="D11" s="4" t="s">
        <v>10</v>
      </c>
      <c r="E11" t="s">
        <v>11</v>
      </c>
      <c r="F11" s="5">
        <v>30.12</v>
      </c>
      <c r="G11">
        <v>2.7</v>
      </c>
      <c r="H11" s="6">
        <v>0.6</v>
      </c>
      <c r="J11" t="str">
        <v>001-CDC-001</v>
      </c>
      <c r="K11" t="str">
        <v>Software</v>
      </c>
      <c r="L11">
        <v>55.14</v>
      </c>
      <c r="M11">
        <v>55.14</v>
      </c>
    </row>
    <row r="12" spans="1:13" x14ac:dyDescent="0.3">
      <c r="A12">
        <v>11</v>
      </c>
      <c r="B12">
        <v>5</v>
      </c>
      <c r="C12" s="4">
        <v>43025</v>
      </c>
      <c r="D12" s="4" t="s">
        <v>13</v>
      </c>
      <c r="E12" t="s">
        <v>11</v>
      </c>
      <c r="F12" s="5">
        <v>22.32</v>
      </c>
      <c r="G12">
        <v>1.23</v>
      </c>
      <c r="H12" s="6">
        <v>0.02</v>
      </c>
      <c r="J12" t="str">
        <v>001-CDC-002</v>
      </c>
      <c r="K12" t="str">
        <v>Hardware</v>
      </c>
      <c r="L12">
        <v>473.95999999999992</v>
      </c>
      <c r="M12">
        <v>39.496666666666663</v>
      </c>
    </row>
    <row r="13" spans="1:13" x14ac:dyDescent="0.3">
      <c r="A13">
        <v>12</v>
      </c>
      <c r="B13">
        <v>4</v>
      </c>
      <c r="C13" s="4">
        <v>43080</v>
      </c>
      <c r="D13" s="4" t="s">
        <v>8</v>
      </c>
      <c r="E13" t="s">
        <v>9</v>
      </c>
      <c r="F13" s="5">
        <v>38.14</v>
      </c>
      <c r="G13">
        <v>3.23</v>
      </c>
      <c r="H13" s="6">
        <v>0.01</v>
      </c>
      <c r="J13" t="str">
        <v>001-CDC-003</v>
      </c>
      <c r="K13" t="str">
        <v>Hardware</v>
      </c>
      <c r="L13">
        <v>260.80999999999995</v>
      </c>
      <c r="M13">
        <v>52.161999999999992</v>
      </c>
    </row>
    <row r="14" spans="1:13" x14ac:dyDescent="0.3">
      <c r="A14">
        <v>13</v>
      </c>
      <c r="B14">
        <v>2</v>
      </c>
      <c r="C14" s="4">
        <v>43451</v>
      </c>
      <c r="D14" s="4" t="s">
        <v>12</v>
      </c>
      <c r="E14" t="s">
        <v>11</v>
      </c>
      <c r="F14" s="5">
        <v>38.14</v>
      </c>
      <c r="G14">
        <v>2.42</v>
      </c>
      <c r="H14" s="6">
        <v>0.21</v>
      </c>
      <c r="J14" t="str">
        <v>001-SFT-001</v>
      </c>
      <c r="K14" t="str">
        <v>Hardware</v>
      </c>
      <c r="L14">
        <v>39.14</v>
      </c>
      <c r="M14">
        <v>39.14</v>
      </c>
    </row>
    <row r="15" spans="1:13" x14ac:dyDescent="0.3">
      <c r="A15">
        <v>14</v>
      </c>
      <c r="B15">
        <v>5</v>
      </c>
      <c r="C15" s="4">
        <v>43451</v>
      </c>
      <c r="D15" s="4" t="s">
        <v>8</v>
      </c>
      <c r="E15" t="s">
        <v>9</v>
      </c>
      <c r="F15" s="5">
        <v>38.14</v>
      </c>
      <c r="G15">
        <v>2.33</v>
      </c>
      <c r="H15" s="6">
        <v>0.38</v>
      </c>
      <c r="J15" t="str">
        <v>001-SFT-001</v>
      </c>
      <c r="K15" t="str">
        <v>Software</v>
      </c>
      <c r="L15">
        <v>1575.7199999999987</v>
      </c>
      <c r="M15">
        <v>30.896470588235267</v>
      </c>
    </row>
    <row r="16" spans="1:13" x14ac:dyDescent="0.3">
      <c r="A16">
        <v>15</v>
      </c>
      <c r="B16">
        <v>3</v>
      </c>
      <c r="C16" s="4">
        <v>43468</v>
      </c>
      <c r="D16" s="4" t="s">
        <v>14</v>
      </c>
      <c r="E16" t="s">
        <v>11</v>
      </c>
      <c r="F16" s="5">
        <v>92.32</v>
      </c>
      <c r="G16">
        <v>3.64</v>
      </c>
      <c r="H16" s="6">
        <v>0.99</v>
      </c>
    </row>
    <row r="17" spans="1:16" x14ac:dyDescent="0.3">
      <c r="A17">
        <v>16</v>
      </c>
      <c r="B17">
        <v>6</v>
      </c>
      <c r="C17" s="4">
        <v>43468</v>
      </c>
      <c r="D17" s="4" t="s">
        <v>8</v>
      </c>
      <c r="E17" t="s">
        <v>9</v>
      </c>
      <c r="F17" s="5">
        <v>92.32</v>
      </c>
      <c r="G17">
        <v>4.12</v>
      </c>
      <c r="H17" s="6">
        <v>0.69</v>
      </c>
    </row>
    <row r="18" spans="1:16" x14ac:dyDescent="0.3">
      <c r="A18">
        <v>17</v>
      </c>
      <c r="B18">
        <v>6</v>
      </c>
      <c r="C18" s="4">
        <v>43499</v>
      </c>
      <c r="D18" s="4" t="s">
        <v>13</v>
      </c>
      <c r="E18" t="s">
        <v>11</v>
      </c>
      <c r="F18" s="5">
        <v>50</v>
      </c>
      <c r="G18">
        <v>1.23</v>
      </c>
      <c r="H18" s="6">
        <v>0.92</v>
      </c>
    </row>
    <row r="19" spans="1:16" x14ac:dyDescent="0.3">
      <c r="A19">
        <v>18</v>
      </c>
      <c r="B19">
        <v>4</v>
      </c>
      <c r="C19" s="4">
        <v>43527</v>
      </c>
      <c r="D19" s="4" t="s">
        <v>12</v>
      </c>
      <c r="E19" t="s">
        <v>11</v>
      </c>
      <c r="F19" s="5">
        <v>100</v>
      </c>
      <c r="G19">
        <v>5.23</v>
      </c>
      <c r="H19" s="6">
        <v>0.82</v>
      </c>
      <c r="J19" t="str" cm="1">
        <f t="array" ref="J19:P22">_xlfn.PIVOTBY(E1:E105,D1:D105,F1:F105,_xleta.SUM)</f>
        <v/>
      </c>
      <c r="K19" t="str">
        <v>001-ABC-003</v>
      </c>
      <c r="L19" t="str">
        <v>001-CDC-001</v>
      </c>
      <c r="M19" t="str">
        <v>001-CDC-002</v>
      </c>
      <c r="N19" t="str">
        <v>001-CDC-003</v>
      </c>
      <c r="O19" t="str">
        <v>001-SFT-001</v>
      </c>
      <c r="P19" t="str">
        <v>Totale</v>
      </c>
    </row>
    <row r="20" spans="1:16" x14ac:dyDescent="0.3">
      <c r="A20">
        <v>19</v>
      </c>
      <c r="B20">
        <v>6</v>
      </c>
      <c r="C20" s="4">
        <v>43558</v>
      </c>
      <c r="D20" s="4" t="s">
        <v>13</v>
      </c>
      <c r="E20" t="s">
        <v>11</v>
      </c>
      <c r="F20" s="5">
        <v>32.56</v>
      </c>
      <c r="G20">
        <v>3.21</v>
      </c>
      <c r="H20" s="6">
        <v>0.82</v>
      </c>
      <c r="J20" t="str">
        <v>Hardware</v>
      </c>
      <c r="K20">
        <v>644.8599999999999</v>
      </c>
      <c r="L20">
        <v>771.68999999999983</v>
      </c>
      <c r="M20">
        <v>473.95999999999992</v>
      </c>
      <c r="N20">
        <v>260.80999999999995</v>
      </c>
      <c r="O20">
        <v>39.14</v>
      </c>
      <c r="P20">
        <v>2190.46</v>
      </c>
    </row>
    <row r="21" spans="1:16" x14ac:dyDescent="0.3">
      <c r="A21">
        <v>20</v>
      </c>
      <c r="B21">
        <v>2</v>
      </c>
      <c r="C21" s="4">
        <v>43588</v>
      </c>
      <c r="D21" s="4" t="s">
        <v>8</v>
      </c>
      <c r="E21" t="s">
        <v>9</v>
      </c>
      <c r="F21" s="5">
        <v>38.14</v>
      </c>
      <c r="G21">
        <v>2.41</v>
      </c>
      <c r="H21" s="6">
        <v>0.43</v>
      </c>
      <c r="J21" t="str">
        <v>Software</v>
      </c>
      <c r="K21" t="str">
        <v/>
      </c>
      <c r="L21">
        <v>55.14</v>
      </c>
      <c r="M21" t="str">
        <v/>
      </c>
      <c r="N21" t="str">
        <v/>
      </c>
      <c r="O21">
        <v>1575.7199999999987</v>
      </c>
      <c r="P21">
        <v>1630.8599999999988</v>
      </c>
    </row>
    <row r="22" spans="1:16" x14ac:dyDescent="0.3">
      <c r="A22">
        <v>21</v>
      </c>
      <c r="B22">
        <v>6</v>
      </c>
      <c r="C22" s="4">
        <v>43619</v>
      </c>
      <c r="D22" s="4" t="s">
        <v>8</v>
      </c>
      <c r="E22" t="s">
        <v>9</v>
      </c>
      <c r="F22" s="5">
        <v>39.14</v>
      </c>
      <c r="G22">
        <v>2.15</v>
      </c>
      <c r="H22" s="6">
        <v>7.0000000000000007E-2</v>
      </c>
      <c r="J22" t="str">
        <v>Totale</v>
      </c>
      <c r="K22">
        <v>644.8599999999999</v>
      </c>
      <c r="L22">
        <v>826.82999999999993</v>
      </c>
      <c r="M22">
        <v>473.95999999999992</v>
      </c>
      <c r="N22">
        <v>260.80999999999995</v>
      </c>
      <c r="O22">
        <v>1614.8599999999988</v>
      </c>
      <c r="P22">
        <v>3821.3199999999979</v>
      </c>
    </row>
    <row r="23" spans="1:16" x14ac:dyDescent="0.3">
      <c r="A23">
        <v>22</v>
      </c>
      <c r="B23">
        <v>6</v>
      </c>
      <c r="C23" s="4">
        <v>43649</v>
      </c>
      <c r="D23" s="4" t="s">
        <v>14</v>
      </c>
      <c r="E23" t="s">
        <v>11</v>
      </c>
      <c r="F23" s="5">
        <v>55.14</v>
      </c>
      <c r="G23">
        <v>2.3199999999999998</v>
      </c>
      <c r="H23" s="6">
        <v>0.05</v>
      </c>
    </row>
    <row r="24" spans="1:16" x14ac:dyDescent="0.3">
      <c r="A24">
        <v>23</v>
      </c>
      <c r="B24">
        <v>1</v>
      </c>
      <c r="C24" s="4">
        <v>43680</v>
      </c>
      <c r="D24" s="4" t="s">
        <v>12</v>
      </c>
      <c r="E24" t="s">
        <v>11</v>
      </c>
      <c r="F24" s="5">
        <v>22.32</v>
      </c>
      <c r="G24">
        <v>2.0499999999999998</v>
      </c>
      <c r="H24" s="6">
        <v>0.39</v>
      </c>
    </row>
    <row r="25" spans="1:16" x14ac:dyDescent="0.3">
      <c r="A25">
        <v>24</v>
      </c>
      <c r="B25">
        <v>2</v>
      </c>
      <c r="C25" s="4">
        <v>43711</v>
      </c>
      <c r="D25" s="4" t="s">
        <v>12</v>
      </c>
      <c r="E25" t="s">
        <v>11</v>
      </c>
      <c r="F25" s="5">
        <v>21.32</v>
      </c>
      <c r="G25">
        <v>3.21</v>
      </c>
      <c r="H25" s="6">
        <v>0.74</v>
      </c>
    </row>
    <row r="26" spans="1:16" x14ac:dyDescent="0.3">
      <c r="A26">
        <v>25</v>
      </c>
      <c r="B26">
        <v>3</v>
      </c>
      <c r="C26" s="4">
        <v>43741</v>
      </c>
      <c r="D26" s="4" t="s">
        <v>8</v>
      </c>
      <c r="E26" t="s">
        <v>9</v>
      </c>
      <c r="F26" s="5">
        <v>22.32</v>
      </c>
      <c r="G26">
        <v>4.2300000000000004</v>
      </c>
      <c r="H26" s="6">
        <v>0.85</v>
      </c>
    </row>
    <row r="27" spans="1:16" x14ac:dyDescent="0.3">
      <c r="A27">
        <v>26</v>
      </c>
      <c r="B27">
        <v>1</v>
      </c>
      <c r="C27" s="4">
        <v>43772</v>
      </c>
      <c r="D27" s="4" t="s">
        <v>8</v>
      </c>
      <c r="E27" t="s">
        <v>9</v>
      </c>
      <c r="F27" s="5">
        <v>72.319999999999993</v>
      </c>
      <c r="G27">
        <v>5.34</v>
      </c>
      <c r="H27" s="6">
        <v>0.59</v>
      </c>
    </row>
    <row r="28" spans="1:16" x14ac:dyDescent="0.3">
      <c r="A28">
        <v>27</v>
      </c>
      <c r="B28">
        <v>4</v>
      </c>
      <c r="C28" s="4">
        <v>43802</v>
      </c>
      <c r="D28" s="4" t="s">
        <v>10</v>
      </c>
      <c r="E28" t="s">
        <v>11</v>
      </c>
      <c r="F28" s="5">
        <v>30.12</v>
      </c>
      <c r="G28">
        <v>2.7</v>
      </c>
      <c r="H28" s="6">
        <v>0.53</v>
      </c>
    </row>
    <row r="29" spans="1:16" x14ac:dyDescent="0.3">
      <c r="A29">
        <v>28</v>
      </c>
      <c r="B29">
        <v>1</v>
      </c>
      <c r="C29" s="4">
        <v>43833</v>
      </c>
      <c r="D29" s="4" t="s">
        <v>13</v>
      </c>
      <c r="E29" t="s">
        <v>11</v>
      </c>
      <c r="F29" s="5">
        <v>22.32</v>
      </c>
      <c r="G29">
        <v>1.23</v>
      </c>
      <c r="H29" s="6">
        <v>0.55000000000000004</v>
      </c>
    </row>
    <row r="30" spans="1:16" x14ac:dyDescent="0.3">
      <c r="A30">
        <v>29</v>
      </c>
      <c r="B30">
        <v>2</v>
      </c>
      <c r="C30" s="4">
        <v>43864</v>
      </c>
      <c r="D30" s="4" t="s">
        <v>8</v>
      </c>
      <c r="E30" t="s">
        <v>9</v>
      </c>
      <c r="F30" s="5">
        <v>38.14</v>
      </c>
      <c r="G30">
        <v>3.23</v>
      </c>
      <c r="H30" s="6">
        <v>0.51</v>
      </c>
    </row>
    <row r="31" spans="1:16" x14ac:dyDescent="0.3">
      <c r="A31">
        <v>30</v>
      </c>
      <c r="B31">
        <v>6</v>
      </c>
      <c r="C31" s="4">
        <v>43893</v>
      </c>
      <c r="D31" s="4" t="s">
        <v>10</v>
      </c>
      <c r="E31" t="s">
        <v>11</v>
      </c>
      <c r="F31" s="5">
        <v>38.14</v>
      </c>
      <c r="G31">
        <v>2.42</v>
      </c>
      <c r="H31" s="6">
        <v>0.2</v>
      </c>
    </row>
    <row r="32" spans="1:16" x14ac:dyDescent="0.3">
      <c r="A32">
        <v>31</v>
      </c>
      <c r="B32">
        <v>2</v>
      </c>
      <c r="C32" s="4">
        <v>43924</v>
      </c>
      <c r="D32" s="4" t="s">
        <v>8</v>
      </c>
      <c r="E32" t="s">
        <v>9</v>
      </c>
      <c r="F32" s="5">
        <v>38.14</v>
      </c>
      <c r="G32">
        <v>2.33</v>
      </c>
      <c r="H32" s="6">
        <v>0.14000000000000001</v>
      </c>
    </row>
    <row r="33" spans="1:8" x14ac:dyDescent="0.3">
      <c r="A33">
        <v>32</v>
      </c>
      <c r="B33">
        <v>3</v>
      </c>
      <c r="C33" s="4">
        <v>43954</v>
      </c>
      <c r="D33" s="4" t="s">
        <v>12</v>
      </c>
      <c r="E33" t="s">
        <v>11</v>
      </c>
      <c r="F33" s="5">
        <v>92.32</v>
      </c>
      <c r="G33">
        <v>3.64</v>
      </c>
      <c r="H33" s="6">
        <v>0.62</v>
      </c>
    </row>
    <row r="34" spans="1:8" x14ac:dyDescent="0.3">
      <c r="A34">
        <v>33</v>
      </c>
      <c r="B34">
        <v>3</v>
      </c>
      <c r="C34" s="4">
        <v>43985</v>
      </c>
      <c r="D34" s="4" t="s">
        <v>8</v>
      </c>
      <c r="E34" t="s">
        <v>9</v>
      </c>
      <c r="F34" s="5">
        <v>92.32</v>
      </c>
      <c r="G34">
        <v>4.12</v>
      </c>
      <c r="H34" s="6">
        <v>0.57999999999999996</v>
      </c>
    </row>
    <row r="35" spans="1:8" x14ac:dyDescent="0.3">
      <c r="A35">
        <v>34</v>
      </c>
      <c r="B35">
        <v>6</v>
      </c>
      <c r="C35" s="4">
        <v>44015</v>
      </c>
      <c r="D35" s="4" t="s">
        <v>10</v>
      </c>
      <c r="E35" t="s">
        <v>11</v>
      </c>
      <c r="F35" s="5">
        <v>50</v>
      </c>
      <c r="G35">
        <v>1.23</v>
      </c>
      <c r="H35" s="6">
        <v>0.63</v>
      </c>
    </row>
    <row r="36" spans="1:8" x14ac:dyDescent="0.3">
      <c r="A36">
        <v>35</v>
      </c>
      <c r="B36">
        <v>6</v>
      </c>
      <c r="C36" s="4">
        <v>44046</v>
      </c>
      <c r="D36" s="4" t="s">
        <v>13</v>
      </c>
      <c r="E36" t="s">
        <v>11</v>
      </c>
      <c r="F36" s="5">
        <v>100</v>
      </c>
      <c r="G36">
        <v>5.23</v>
      </c>
      <c r="H36" s="6">
        <v>0.39</v>
      </c>
    </row>
    <row r="37" spans="1:8" x14ac:dyDescent="0.3">
      <c r="A37">
        <v>36</v>
      </c>
      <c r="B37">
        <v>5</v>
      </c>
      <c r="C37" s="4">
        <v>44077</v>
      </c>
      <c r="D37" s="4" t="s">
        <v>10</v>
      </c>
      <c r="E37" t="s">
        <v>11</v>
      </c>
      <c r="F37" s="5">
        <v>32.56</v>
      </c>
      <c r="G37">
        <v>3.21</v>
      </c>
      <c r="H37" s="6">
        <v>0.38</v>
      </c>
    </row>
    <row r="38" spans="1:8" x14ac:dyDescent="0.3">
      <c r="A38">
        <v>37</v>
      </c>
      <c r="B38">
        <v>2</v>
      </c>
      <c r="C38" s="4">
        <v>44107</v>
      </c>
      <c r="D38" s="4" t="s">
        <v>8</v>
      </c>
      <c r="E38" t="s">
        <v>9</v>
      </c>
      <c r="F38" s="5">
        <v>38.14</v>
      </c>
      <c r="G38">
        <v>2.41</v>
      </c>
      <c r="H38" s="6">
        <v>0.1</v>
      </c>
    </row>
    <row r="39" spans="1:8" x14ac:dyDescent="0.3">
      <c r="A39">
        <v>38</v>
      </c>
      <c r="B39">
        <v>3</v>
      </c>
      <c r="C39" s="4">
        <v>44138</v>
      </c>
      <c r="D39" s="4" t="s">
        <v>8</v>
      </c>
      <c r="E39" t="s">
        <v>9</v>
      </c>
      <c r="F39" s="5">
        <v>39.14</v>
      </c>
      <c r="G39">
        <v>2.15</v>
      </c>
      <c r="H39" s="6">
        <v>0.95</v>
      </c>
    </row>
    <row r="40" spans="1:8" x14ac:dyDescent="0.3">
      <c r="A40">
        <v>39</v>
      </c>
      <c r="B40">
        <v>6</v>
      </c>
      <c r="C40" s="4">
        <v>44168</v>
      </c>
      <c r="D40" s="4" t="s">
        <v>14</v>
      </c>
      <c r="E40" t="s">
        <v>11</v>
      </c>
      <c r="F40" s="5">
        <v>55.14</v>
      </c>
      <c r="G40">
        <v>2.3199999999999998</v>
      </c>
      <c r="H40" s="6">
        <v>0.56999999999999995</v>
      </c>
    </row>
    <row r="41" spans="1:8" x14ac:dyDescent="0.3">
      <c r="A41">
        <v>40</v>
      </c>
      <c r="B41">
        <v>5</v>
      </c>
      <c r="C41" s="4">
        <v>44199</v>
      </c>
      <c r="D41" s="4" t="s">
        <v>12</v>
      </c>
      <c r="E41" t="s">
        <v>11</v>
      </c>
      <c r="F41" s="5">
        <v>22.32</v>
      </c>
      <c r="G41">
        <v>2.0499999999999998</v>
      </c>
      <c r="H41" s="6">
        <v>0.93</v>
      </c>
    </row>
    <row r="42" spans="1:8" x14ac:dyDescent="0.3">
      <c r="A42">
        <v>41</v>
      </c>
      <c r="B42">
        <v>5</v>
      </c>
      <c r="C42" s="4">
        <v>44230</v>
      </c>
      <c r="D42" s="4" t="s">
        <v>12</v>
      </c>
      <c r="E42" t="s">
        <v>11</v>
      </c>
      <c r="F42" s="5">
        <v>21.32</v>
      </c>
      <c r="G42">
        <v>3.21</v>
      </c>
      <c r="H42" s="6">
        <v>0.79</v>
      </c>
    </row>
    <row r="43" spans="1:8" x14ac:dyDescent="0.3">
      <c r="A43">
        <v>42</v>
      </c>
      <c r="B43">
        <v>1</v>
      </c>
      <c r="C43" s="4">
        <v>44258</v>
      </c>
      <c r="D43" s="4" t="s">
        <v>8</v>
      </c>
      <c r="E43" t="s">
        <v>9</v>
      </c>
      <c r="F43" s="5">
        <v>22.32</v>
      </c>
      <c r="G43">
        <v>4.2300000000000004</v>
      </c>
      <c r="H43" s="6">
        <v>0.64</v>
      </c>
    </row>
    <row r="44" spans="1:8" x14ac:dyDescent="0.3">
      <c r="A44">
        <v>43</v>
      </c>
      <c r="B44">
        <v>5</v>
      </c>
      <c r="C44" s="4">
        <v>44289</v>
      </c>
      <c r="D44" s="4" t="s">
        <v>8</v>
      </c>
      <c r="E44" t="s">
        <v>9</v>
      </c>
      <c r="F44" s="5">
        <v>72.319999999999993</v>
      </c>
      <c r="G44">
        <v>5.34</v>
      </c>
      <c r="H44" s="6">
        <v>0.19</v>
      </c>
    </row>
    <row r="45" spans="1:8" x14ac:dyDescent="0.3">
      <c r="A45">
        <v>44</v>
      </c>
      <c r="B45">
        <v>1</v>
      </c>
      <c r="C45" s="4">
        <v>44319</v>
      </c>
      <c r="D45" s="4" t="s">
        <v>10</v>
      </c>
      <c r="E45" t="s">
        <v>11</v>
      </c>
      <c r="F45" s="5">
        <v>30.12</v>
      </c>
      <c r="G45">
        <v>2.7</v>
      </c>
      <c r="H45" s="6">
        <v>0.12</v>
      </c>
    </row>
    <row r="46" spans="1:8" x14ac:dyDescent="0.3">
      <c r="A46">
        <v>45</v>
      </c>
      <c r="B46">
        <v>6</v>
      </c>
      <c r="C46" s="4">
        <v>44350</v>
      </c>
      <c r="D46" s="4" t="s">
        <v>13</v>
      </c>
      <c r="E46" t="s">
        <v>11</v>
      </c>
      <c r="F46" s="5">
        <v>22.32</v>
      </c>
      <c r="G46">
        <v>1.23</v>
      </c>
      <c r="H46" s="6">
        <v>0.65</v>
      </c>
    </row>
    <row r="47" spans="1:8" x14ac:dyDescent="0.3">
      <c r="A47">
        <v>46</v>
      </c>
      <c r="B47">
        <v>1</v>
      </c>
      <c r="C47" s="4">
        <v>44380</v>
      </c>
      <c r="D47" s="4" t="s">
        <v>8</v>
      </c>
      <c r="E47" t="s">
        <v>9</v>
      </c>
      <c r="F47" s="5">
        <v>38.14</v>
      </c>
      <c r="G47">
        <v>3.23</v>
      </c>
      <c r="H47" s="6">
        <v>0.87</v>
      </c>
    </row>
    <row r="48" spans="1:8" x14ac:dyDescent="0.3">
      <c r="A48">
        <v>46</v>
      </c>
      <c r="B48">
        <v>2</v>
      </c>
      <c r="C48" s="4">
        <v>44411</v>
      </c>
      <c r="D48" s="4" t="s">
        <v>10</v>
      </c>
      <c r="E48" t="s">
        <v>11</v>
      </c>
      <c r="F48" s="5">
        <v>38.14</v>
      </c>
      <c r="G48">
        <v>2.42</v>
      </c>
      <c r="H48" s="6">
        <v>0.65</v>
      </c>
    </row>
    <row r="49" spans="1:8" x14ac:dyDescent="0.3">
      <c r="A49">
        <v>48</v>
      </c>
      <c r="B49">
        <v>6</v>
      </c>
      <c r="C49" s="4">
        <v>44442</v>
      </c>
      <c r="D49" s="4" t="s">
        <v>8</v>
      </c>
      <c r="E49" t="s">
        <v>9</v>
      </c>
      <c r="F49" s="5">
        <v>38.14</v>
      </c>
      <c r="G49">
        <v>2.33</v>
      </c>
      <c r="H49" s="6">
        <v>0.51</v>
      </c>
    </row>
    <row r="50" spans="1:8" x14ac:dyDescent="0.3">
      <c r="A50">
        <v>49</v>
      </c>
      <c r="B50">
        <v>2</v>
      </c>
      <c r="C50" s="4">
        <v>44472</v>
      </c>
      <c r="D50" s="4" t="s">
        <v>12</v>
      </c>
      <c r="E50" t="s">
        <v>11</v>
      </c>
      <c r="F50" s="5">
        <v>92.32</v>
      </c>
      <c r="G50">
        <v>3.64</v>
      </c>
      <c r="H50" s="6">
        <v>0.86</v>
      </c>
    </row>
    <row r="51" spans="1:8" x14ac:dyDescent="0.3">
      <c r="A51">
        <v>50</v>
      </c>
      <c r="B51">
        <v>5</v>
      </c>
      <c r="C51" s="4">
        <v>44503</v>
      </c>
      <c r="D51" s="4" t="s">
        <v>8</v>
      </c>
      <c r="E51" t="s">
        <v>9</v>
      </c>
      <c r="F51" s="5">
        <v>92.32</v>
      </c>
      <c r="G51">
        <v>4.12</v>
      </c>
      <c r="H51" s="6">
        <v>0.59</v>
      </c>
    </row>
    <row r="52" spans="1:8" x14ac:dyDescent="0.3">
      <c r="A52">
        <v>51</v>
      </c>
      <c r="B52">
        <v>4</v>
      </c>
      <c r="C52" s="4">
        <v>44533</v>
      </c>
      <c r="D52" s="4" t="s">
        <v>12</v>
      </c>
      <c r="E52" t="s">
        <v>11</v>
      </c>
      <c r="F52" s="5">
        <v>50</v>
      </c>
      <c r="G52">
        <v>1.23</v>
      </c>
      <c r="H52" s="6">
        <v>0.75</v>
      </c>
    </row>
    <row r="53" spans="1:8" x14ac:dyDescent="0.3">
      <c r="A53">
        <v>52</v>
      </c>
      <c r="B53">
        <v>6</v>
      </c>
      <c r="C53" s="4">
        <v>44564</v>
      </c>
      <c r="D53" s="4" t="s">
        <v>14</v>
      </c>
      <c r="E53" t="s">
        <v>11</v>
      </c>
      <c r="F53" s="5">
        <v>35.89</v>
      </c>
      <c r="G53">
        <v>0.57999999999999996</v>
      </c>
      <c r="H53" s="6">
        <v>0.93</v>
      </c>
    </row>
    <row r="54" spans="1:8" x14ac:dyDescent="0.3">
      <c r="A54">
        <v>53</v>
      </c>
      <c r="B54">
        <v>5</v>
      </c>
      <c r="C54" s="4">
        <v>44595</v>
      </c>
      <c r="D54" s="4" t="s">
        <v>8</v>
      </c>
      <c r="E54" t="s">
        <v>9</v>
      </c>
      <c r="F54" s="5">
        <v>14.73</v>
      </c>
      <c r="G54">
        <v>5.34</v>
      </c>
      <c r="H54" s="6">
        <v>0.2</v>
      </c>
    </row>
    <row r="55" spans="1:8" x14ac:dyDescent="0.3">
      <c r="A55">
        <v>54</v>
      </c>
      <c r="B55">
        <v>4</v>
      </c>
      <c r="C55" s="4">
        <v>44623</v>
      </c>
      <c r="D55" s="4" t="s">
        <v>12</v>
      </c>
      <c r="E55" t="s">
        <v>11</v>
      </c>
      <c r="F55" s="5">
        <v>10</v>
      </c>
      <c r="G55">
        <v>2.7</v>
      </c>
      <c r="H55" s="6">
        <v>0.8</v>
      </c>
    </row>
    <row r="56" spans="1:8" x14ac:dyDescent="0.3">
      <c r="A56">
        <v>55</v>
      </c>
      <c r="B56">
        <v>6</v>
      </c>
      <c r="C56" s="4">
        <v>44654</v>
      </c>
      <c r="D56" s="4" t="s">
        <v>13</v>
      </c>
      <c r="E56" t="s">
        <v>11</v>
      </c>
      <c r="F56" s="5">
        <v>32.56</v>
      </c>
      <c r="G56">
        <v>1.23</v>
      </c>
      <c r="H56" s="6">
        <v>0.49</v>
      </c>
    </row>
    <row r="57" spans="1:8" x14ac:dyDescent="0.3">
      <c r="A57">
        <v>56</v>
      </c>
      <c r="B57">
        <v>4</v>
      </c>
      <c r="C57" s="4">
        <v>44684</v>
      </c>
      <c r="D57" s="4" t="s">
        <v>8</v>
      </c>
      <c r="E57" t="s">
        <v>9</v>
      </c>
      <c r="F57" s="5">
        <v>38.14</v>
      </c>
      <c r="G57">
        <v>3.23</v>
      </c>
      <c r="H57" s="6">
        <v>0.79</v>
      </c>
    </row>
    <row r="58" spans="1:8" x14ac:dyDescent="0.3">
      <c r="A58">
        <v>57</v>
      </c>
      <c r="B58">
        <v>6</v>
      </c>
      <c r="C58" s="4">
        <v>44715</v>
      </c>
      <c r="D58" s="4" t="s">
        <v>10</v>
      </c>
      <c r="E58" t="s">
        <v>11</v>
      </c>
      <c r="F58" s="5">
        <v>39.14</v>
      </c>
      <c r="G58">
        <v>2.42</v>
      </c>
      <c r="H58" s="6">
        <v>0.9</v>
      </c>
    </row>
    <row r="59" spans="1:8" x14ac:dyDescent="0.3">
      <c r="A59">
        <v>58</v>
      </c>
      <c r="B59">
        <v>5</v>
      </c>
      <c r="C59" s="4">
        <v>44745</v>
      </c>
      <c r="D59" s="4" t="s">
        <v>13</v>
      </c>
      <c r="E59" t="s">
        <v>11</v>
      </c>
      <c r="F59" s="5">
        <v>55.14</v>
      </c>
      <c r="G59">
        <v>2.33</v>
      </c>
      <c r="H59" s="6">
        <v>0.94</v>
      </c>
    </row>
    <row r="60" spans="1:8" x14ac:dyDescent="0.3">
      <c r="A60">
        <v>59</v>
      </c>
      <c r="B60">
        <v>1</v>
      </c>
      <c r="C60" s="4">
        <v>44776</v>
      </c>
      <c r="D60" s="4" t="s">
        <v>8</v>
      </c>
      <c r="E60" t="s">
        <v>9</v>
      </c>
      <c r="F60" s="5">
        <v>22.32</v>
      </c>
      <c r="G60">
        <v>3.64</v>
      </c>
      <c r="H60" s="6">
        <v>0.51</v>
      </c>
    </row>
    <row r="61" spans="1:8" x14ac:dyDescent="0.3">
      <c r="A61">
        <v>60</v>
      </c>
      <c r="B61">
        <v>1</v>
      </c>
      <c r="C61" s="4">
        <v>44807</v>
      </c>
      <c r="D61" s="4" t="s">
        <v>12</v>
      </c>
      <c r="E61" t="s">
        <v>11</v>
      </c>
      <c r="F61" s="5">
        <v>21.32</v>
      </c>
      <c r="G61">
        <v>4.12</v>
      </c>
      <c r="H61" s="6">
        <v>0.32</v>
      </c>
    </row>
    <row r="62" spans="1:8" x14ac:dyDescent="0.3">
      <c r="A62">
        <v>61</v>
      </c>
      <c r="B62">
        <v>2</v>
      </c>
      <c r="C62" s="4">
        <v>44837</v>
      </c>
      <c r="D62" s="4" t="s">
        <v>13</v>
      </c>
      <c r="E62" t="s">
        <v>11</v>
      </c>
      <c r="F62" s="5">
        <v>22.32</v>
      </c>
      <c r="G62">
        <v>1.23</v>
      </c>
      <c r="H62" s="6">
        <v>0.05</v>
      </c>
    </row>
    <row r="63" spans="1:8" x14ac:dyDescent="0.3">
      <c r="A63">
        <v>62</v>
      </c>
      <c r="B63">
        <v>3</v>
      </c>
      <c r="C63" s="4">
        <v>44868</v>
      </c>
      <c r="D63" s="4" t="s">
        <v>8</v>
      </c>
      <c r="E63" t="s">
        <v>9</v>
      </c>
      <c r="F63" s="5">
        <v>72.319999999999993</v>
      </c>
      <c r="G63">
        <v>0.57999999999999996</v>
      </c>
      <c r="H63" s="6">
        <v>0.4</v>
      </c>
    </row>
    <row r="64" spans="1:8" x14ac:dyDescent="0.3">
      <c r="A64">
        <v>63</v>
      </c>
      <c r="B64">
        <v>5</v>
      </c>
      <c r="C64" s="4">
        <v>44898</v>
      </c>
      <c r="D64" s="4" t="s">
        <v>10</v>
      </c>
      <c r="E64" t="s">
        <v>11</v>
      </c>
      <c r="F64" s="5">
        <v>30.12</v>
      </c>
      <c r="G64">
        <v>2.0499999999999998</v>
      </c>
      <c r="H64" s="6">
        <v>0.91</v>
      </c>
    </row>
    <row r="65" spans="1:8" x14ac:dyDescent="0.3">
      <c r="A65">
        <v>64</v>
      </c>
      <c r="B65">
        <v>2</v>
      </c>
      <c r="C65" s="4">
        <v>44929</v>
      </c>
      <c r="D65" s="4" t="s">
        <v>10</v>
      </c>
      <c r="E65" t="s">
        <v>11</v>
      </c>
      <c r="F65" s="5">
        <v>22.32</v>
      </c>
      <c r="G65">
        <v>3.21</v>
      </c>
      <c r="H65" s="6">
        <v>0.45</v>
      </c>
    </row>
    <row r="66" spans="1:8" x14ac:dyDescent="0.3">
      <c r="A66">
        <v>65</v>
      </c>
      <c r="B66">
        <v>2</v>
      </c>
      <c r="C66" s="4">
        <v>44960</v>
      </c>
      <c r="D66" s="4" t="s">
        <v>8</v>
      </c>
      <c r="E66" t="s">
        <v>9</v>
      </c>
      <c r="F66" s="5">
        <v>38.14</v>
      </c>
      <c r="G66">
        <v>4.2300000000000004</v>
      </c>
      <c r="H66" s="6">
        <v>0.56999999999999995</v>
      </c>
    </row>
    <row r="67" spans="1:8" x14ac:dyDescent="0.3">
      <c r="A67">
        <v>66</v>
      </c>
      <c r="B67">
        <v>1</v>
      </c>
      <c r="C67" s="4">
        <v>44988</v>
      </c>
      <c r="D67" s="4" t="s">
        <v>12</v>
      </c>
      <c r="E67" t="s">
        <v>11</v>
      </c>
      <c r="F67" s="5">
        <v>38.14</v>
      </c>
      <c r="G67">
        <v>5.34</v>
      </c>
      <c r="H67" s="6">
        <v>0.1</v>
      </c>
    </row>
    <row r="68" spans="1:8" x14ac:dyDescent="0.3">
      <c r="A68">
        <v>67</v>
      </c>
      <c r="B68">
        <v>2</v>
      </c>
      <c r="C68" s="4">
        <v>45019</v>
      </c>
      <c r="D68" s="4" t="s">
        <v>13</v>
      </c>
      <c r="E68" t="s">
        <v>11</v>
      </c>
      <c r="F68" s="5">
        <v>38.14</v>
      </c>
      <c r="G68">
        <v>2.7</v>
      </c>
      <c r="H68" s="6">
        <v>0.72</v>
      </c>
    </row>
    <row r="69" spans="1:8" x14ac:dyDescent="0.3">
      <c r="A69">
        <v>68</v>
      </c>
      <c r="B69">
        <v>2</v>
      </c>
      <c r="C69" s="4">
        <v>45049</v>
      </c>
      <c r="D69" s="4" t="s">
        <v>8</v>
      </c>
      <c r="E69" t="s">
        <v>9</v>
      </c>
      <c r="F69" s="5">
        <v>92.32</v>
      </c>
      <c r="G69">
        <v>1.23</v>
      </c>
      <c r="H69" s="6">
        <v>0.46</v>
      </c>
    </row>
    <row r="70" spans="1:8" x14ac:dyDescent="0.3">
      <c r="A70">
        <v>69</v>
      </c>
      <c r="B70">
        <v>1</v>
      </c>
      <c r="C70" s="4">
        <v>45080</v>
      </c>
      <c r="D70" s="4" t="s">
        <v>10</v>
      </c>
      <c r="E70" t="s">
        <v>11</v>
      </c>
      <c r="F70" s="5">
        <v>92.32</v>
      </c>
      <c r="G70">
        <v>3.23</v>
      </c>
      <c r="H70" s="6">
        <v>0.5</v>
      </c>
    </row>
    <row r="71" spans="1:8" x14ac:dyDescent="0.3">
      <c r="A71">
        <v>70</v>
      </c>
      <c r="B71">
        <v>4</v>
      </c>
      <c r="C71" s="4">
        <v>45110</v>
      </c>
      <c r="D71" s="4" t="s">
        <v>10</v>
      </c>
      <c r="E71" t="s">
        <v>11</v>
      </c>
      <c r="F71" s="5">
        <v>50</v>
      </c>
      <c r="G71">
        <v>2.15</v>
      </c>
      <c r="H71" s="6">
        <v>0.67</v>
      </c>
    </row>
    <row r="72" spans="1:8" x14ac:dyDescent="0.3">
      <c r="A72">
        <v>71</v>
      </c>
      <c r="B72">
        <v>2</v>
      </c>
      <c r="C72" s="4">
        <v>45141</v>
      </c>
      <c r="D72" s="4" t="s">
        <v>8</v>
      </c>
      <c r="E72" t="s">
        <v>9</v>
      </c>
      <c r="F72" s="5">
        <v>100</v>
      </c>
      <c r="G72">
        <v>2.3199999999999998</v>
      </c>
      <c r="H72" s="6">
        <v>0.32</v>
      </c>
    </row>
    <row r="73" spans="1:8" x14ac:dyDescent="0.3">
      <c r="A73">
        <v>72</v>
      </c>
      <c r="B73">
        <v>2</v>
      </c>
      <c r="C73" s="4">
        <v>45172</v>
      </c>
      <c r="D73" s="4" t="s">
        <v>12</v>
      </c>
      <c r="E73" t="s">
        <v>11</v>
      </c>
      <c r="F73" s="5">
        <v>32.56</v>
      </c>
      <c r="G73">
        <v>2.0499999999999998</v>
      </c>
      <c r="H73" s="6">
        <v>0.31</v>
      </c>
    </row>
    <row r="74" spans="1:8" x14ac:dyDescent="0.3">
      <c r="A74">
        <v>73</v>
      </c>
      <c r="B74">
        <v>1</v>
      </c>
      <c r="C74" s="4">
        <v>45202</v>
      </c>
      <c r="D74" s="4" t="s">
        <v>13</v>
      </c>
      <c r="E74" t="s">
        <v>11</v>
      </c>
      <c r="F74" s="5">
        <v>38.14</v>
      </c>
      <c r="G74">
        <v>3.21</v>
      </c>
      <c r="H74" s="6">
        <v>0.12</v>
      </c>
    </row>
    <row r="75" spans="1:8" x14ac:dyDescent="0.3">
      <c r="A75">
        <v>74</v>
      </c>
      <c r="B75">
        <v>5</v>
      </c>
      <c r="C75" s="4">
        <v>45233</v>
      </c>
      <c r="D75" s="4" t="s">
        <v>8</v>
      </c>
      <c r="E75" t="s">
        <v>9</v>
      </c>
      <c r="F75" s="5">
        <v>39.14</v>
      </c>
      <c r="G75">
        <v>4.2300000000000004</v>
      </c>
      <c r="H75" s="6">
        <v>0.44</v>
      </c>
    </row>
    <row r="76" spans="1:8" x14ac:dyDescent="0.3">
      <c r="A76">
        <v>75</v>
      </c>
      <c r="B76">
        <v>6</v>
      </c>
      <c r="C76" s="4">
        <v>45234</v>
      </c>
      <c r="D76" s="4" t="s">
        <v>8</v>
      </c>
      <c r="E76" t="s">
        <v>9</v>
      </c>
      <c r="F76" s="5">
        <v>2.12</v>
      </c>
      <c r="G76">
        <v>0</v>
      </c>
      <c r="H76" s="6">
        <v>0.1</v>
      </c>
    </row>
    <row r="77" spans="1:8" x14ac:dyDescent="0.3">
      <c r="A77">
        <v>76</v>
      </c>
      <c r="B77">
        <v>3</v>
      </c>
      <c r="C77" s="4">
        <v>45235</v>
      </c>
      <c r="D77" s="4" t="s">
        <v>8</v>
      </c>
      <c r="E77" t="s">
        <v>9</v>
      </c>
      <c r="F77" s="5">
        <v>2.19</v>
      </c>
      <c r="G77">
        <v>0</v>
      </c>
      <c r="H77" s="6">
        <v>0.35</v>
      </c>
    </row>
    <row r="78" spans="1:8" x14ac:dyDescent="0.3">
      <c r="A78">
        <v>77</v>
      </c>
      <c r="B78">
        <v>5</v>
      </c>
      <c r="C78" s="4">
        <v>45236</v>
      </c>
      <c r="D78" s="4" t="s">
        <v>8</v>
      </c>
      <c r="E78" t="s">
        <v>9</v>
      </c>
      <c r="F78" s="5">
        <v>2.12</v>
      </c>
      <c r="G78">
        <v>0</v>
      </c>
      <c r="H78" s="6">
        <v>0.43</v>
      </c>
    </row>
    <row r="79" spans="1:8" x14ac:dyDescent="0.3">
      <c r="A79">
        <v>78</v>
      </c>
      <c r="B79">
        <v>4</v>
      </c>
      <c r="C79" s="4">
        <v>45237</v>
      </c>
      <c r="D79" s="4" t="s">
        <v>8</v>
      </c>
      <c r="E79" t="s">
        <v>9</v>
      </c>
      <c r="F79" s="5">
        <v>3.1</v>
      </c>
      <c r="G79">
        <v>0</v>
      </c>
      <c r="H79" s="6">
        <v>0.52</v>
      </c>
    </row>
    <row r="80" spans="1:8" x14ac:dyDescent="0.3">
      <c r="A80">
        <v>79</v>
      </c>
      <c r="B80">
        <v>4</v>
      </c>
      <c r="C80" s="4">
        <v>45238</v>
      </c>
      <c r="D80" s="4" t="s">
        <v>8</v>
      </c>
      <c r="E80" t="s">
        <v>9</v>
      </c>
      <c r="F80" s="5">
        <v>2.12</v>
      </c>
      <c r="G80">
        <v>0</v>
      </c>
      <c r="H80" s="6">
        <v>0.28000000000000003</v>
      </c>
    </row>
    <row r="81" spans="1:8" x14ac:dyDescent="0.3">
      <c r="A81">
        <v>80</v>
      </c>
      <c r="B81">
        <v>4</v>
      </c>
      <c r="C81" s="4">
        <v>45239</v>
      </c>
      <c r="D81" s="4" t="s">
        <v>8</v>
      </c>
      <c r="E81" t="s">
        <v>9</v>
      </c>
      <c r="F81" s="5">
        <v>4.2</v>
      </c>
      <c r="G81">
        <v>0</v>
      </c>
      <c r="H81" s="6">
        <v>0.87</v>
      </c>
    </row>
    <row r="82" spans="1:8" x14ac:dyDescent="0.3">
      <c r="A82">
        <v>81</v>
      </c>
      <c r="B82">
        <v>2</v>
      </c>
      <c r="C82" s="4">
        <v>45240</v>
      </c>
      <c r="D82" s="4" t="s">
        <v>8</v>
      </c>
      <c r="E82" t="s">
        <v>9</v>
      </c>
      <c r="F82" s="5">
        <v>2.12</v>
      </c>
      <c r="G82">
        <v>0</v>
      </c>
      <c r="H82" s="6">
        <v>0.55000000000000004</v>
      </c>
    </row>
    <row r="83" spans="1:8" x14ac:dyDescent="0.3">
      <c r="A83">
        <v>82</v>
      </c>
      <c r="B83">
        <v>2</v>
      </c>
      <c r="C83" s="4">
        <v>45241</v>
      </c>
      <c r="D83" s="4" t="s">
        <v>8</v>
      </c>
      <c r="E83" t="s">
        <v>9</v>
      </c>
      <c r="F83" s="5">
        <v>3.1</v>
      </c>
      <c r="G83">
        <v>0</v>
      </c>
      <c r="H83" s="6">
        <v>0.4</v>
      </c>
    </row>
    <row r="84" spans="1:8" x14ac:dyDescent="0.3">
      <c r="A84">
        <v>83</v>
      </c>
      <c r="B84">
        <v>1</v>
      </c>
      <c r="C84" s="4">
        <v>45242</v>
      </c>
      <c r="D84" s="4" t="s">
        <v>8</v>
      </c>
      <c r="E84" t="s">
        <v>9</v>
      </c>
      <c r="F84" s="5">
        <v>2.12</v>
      </c>
      <c r="G84">
        <v>0</v>
      </c>
      <c r="H84" s="6">
        <v>0.96</v>
      </c>
    </row>
    <row r="85" spans="1:8" x14ac:dyDescent="0.3">
      <c r="A85">
        <v>84</v>
      </c>
      <c r="B85">
        <v>3</v>
      </c>
      <c r="C85" s="4">
        <v>45243</v>
      </c>
      <c r="D85" s="4" t="s">
        <v>8</v>
      </c>
      <c r="E85" t="s">
        <v>9</v>
      </c>
      <c r="F85" s="5">
        <v>4.2</v>
      </c>
      <c r="G85">
        <v>0</v>
      </c>
      <c r="H85" s="6">
        <v>0.8</v>
      </c>
    </row>
    <row r="86" spans="1:8" x14ac:dyDescent="0.3">
      <c r="A86">
        <v>85</v>
      </c>
      <c r="B86">
        <v>5</v>
      </c>
      <c r="C86" s="4">
        <v>45244</v>
      </c>
      <c r="D86" s="4" t="s">
        <v>8</v>
      </c>
      <c r="E86" t="s">
        <v>9</v>
      </c>
      <c r="F86" s="5">
        <v>2.12</v>
      </c>
      <c r="G86">
        <v>0</v>
      </c>
      <c r="H86" s="6">
        <v>0.34</v>
      </c>
    </row>
    <row r="87" spans="1:8" x14ac:dyDescent="0.3">
      <c r="A87">
        <v>86</v>
      </c>
      <c r="B87">
        <v>6</v>
      </c>
      <c r="C87" s="4">
        <v>45245</v>
      </c>
      <c r="D87" s="4" t="s">
        <v>8</v>
      </c>
      <c r="E87" t="s">
        <v>9</v>
      </c>
      <c r="F87" s="5">
        <v>3.1</v>
      </c>
      <c r="G87">
        <v>0</v>
      </c>
      <c r="H87" s="6">
        <v>0.45</v>
      </c>
    </row>
    <row r="88" spans="1:8" x14ac:dyDescent="0.3">
      <c r="A88">
        <v>87</v>
      </c>
      <c r="B88">
        <v>4</v>
      </c>
      <c r="C88" s="4">
        <v>45246</v>
      </c>
      <c r="D88" s="4" t="s">
        <v>8</v>
      </c>
      <c r="E88" t="s">
        <v>9</v>
      </c>
      <c r="F88" s="5">
        <v>2.12</v>
      </c>
      <c r="G88">
        <v>0</v>
      </c>
      <c r="H88" s="6">
        <v>0.4</v>
      </c>
    </row>
    <row r="89" spans="1:8" x14ac:dyDescent="0.3">
      <c r="A89">
        <v>88</v>
      </c>
      <c r="B89">
        <v>5</v>
      </c>
      <c r="C89" s="4">
        <v>45247</v>
      </c>
      <c r="D89" s="4" t="s">
        <v>8</v>
      </c>
      <c r="E89" t="s">
        <v>9</v>
      </c>
      <c r="F89" s="5">
        <v>2.12</v>
      </c>
      <c r="G89">
        <v>0</v>
      </c>
      <c r="H89" s="6">
        <v>0.79</v>
      </c>
    </row>
    <row r="90" spans="1:8" x14ac:dyDescent="0.3">
      <c r="A90">
        <v>89</v>
      </c>
      <c r="B90">
        <v>5</v>
      </c>
      <c r="C90" s="4">
        <v>45248</v>
      </c>
      <c r="D90" s="4" t="s">
        <v>8</v>
      </c>
      <c r="E90" t="s">
        <v>9</v>
      </c>
      <c r="F90" s="5">
        <v>4.2</v>
      </c>
      <c r="G90">
        <v>0</v>
      </c>
      <c r="H90" s="6">
        <v>0.2</v>
      </c>
    </row>
    <row r="91" spans="1:8" x14ac:dyDescent="0.3">
      <c r="A91">
        <v>90</v>
      </c>
      <c r="B91">
        <v>4</v>
      </c>
      <c r="C91" s="4">
        <v>45249</v>
      </c>
      <c r="D91" s="4" t="s">
        <v>8</v>
      </c>
      <c r="E91" t="s">
        <v>9</v>
      </c>
      <c r="F91" s="5">
        <v>2.12</v>
      </c>
      <c r="G91">
        <v>0</v>
      </c>
      <c r="H91" s="6">
        <v>0.13</v>
      </c>
    </row>
    <row r="92" spans="1:8" x14ac:dyDescent="0.3">
      <c r="A92">
        <v>91</v>
      </c>
      <c r="B92">
        <v>6</v>
      </c>
      <c r="C92" s="4">
        <v>45250</v>
      </c>
      <c r="D92" s="4" t="s">
        <v>8</v>
      </c>
      <c r="E92" t="s">
        <v>9</v>
      </c>
      <c r="F92" s="5">
        <v>2.12</v>
      </c>
      <c r="G92">
        <v>0</v>
      </c>
      <c r="H92" s="6">
        <v>0.7</v>
      </c>
    </row>
    <row r="93" spans="1:8" x14ac:dyDescent="0.3">
      <c r="A93">
        <v>92</v>
      </c>
      <c r="B93">
        <v>1</v>
      </c>
      <c r="C93" s="4">
        <v>45251</v>
      </c>
      <c r="D93" s="4" t="s">
        <v>8</v>
      </c>
      <c r="E93" t="s">
        <v>9</v>
      </c>
      <c r="F93" s="5">
        <v>4.2</v>
      </c>
      <c r="G93">
        <v>0</v>
      </c>
      <c r="H93" s="6">
        <v>0.69</v>
      </c>
    </row>
    <row r="94" spans="1:8" x14ac:dyDescent="0.3">
      <c r="A94">
        <v>93</v>
      </c>
      <c r="B94">
        <v>1</v>
      </c>
      <c r="C94" s="4">
        <v>45252</v>
      </c>
      <c r="D94" s="4" t="s">
        <v>8</v>
      </c>
      <c r="E94" t="s">
        <v>9</v>
      </c>
      <c r="F94" s="5">
        <v>2.12</v>
      </c>
      <c r="G94">
        <v>0</v>
      </c>
      <c r="H94" s="6">
        <v>0.76</v>
      </c>
    </row>
    <row r="95" spans="1:8" x14ac:dyDescent="0.3">
      <c r="A95">
        <v>94</v>
      </c>
      <c r="B95">
        <v>1</v>
      </c>
      <c r="C95" s="4">
        <v>45263</v>
      </c>
      <c r="D95" s="4" t="s">
        <v>10</v>
      </c>
      <c r="E95" t="s">
        <v>11</v>
      </c>
      <c r="F95" s="5">
        <v>55.14</v>
      </c>
      <c r="G95">
        <v>5.34</v>
      </c>
      <c r="H95" s="6">
        <v>0.82</v>
      </c>
    </row>
    <row r="96" spans="1:8" x14ac:dyDescent="0.3">
      <c r="A96">
        <v>95</v>
      </c>
      <c r="B96">
        <v>6</v>
      </c>
      <c r="C96" s="4">
        <v>45294</v>
      </c>
      <c r="D96" s="4" t="s">
        <v>12</v>
      </c>
      <c r="E96" t="s">
        <v>11</v>
      </c>
      <c r="F96" s="5">
        <v>22.32</v>
      </c>
      <c r="G96">
        <v>2.7</v>
      </c>
      <c r="H96" s="6">
        <v>0.69</v>
      </c>
    </row>
    <row r="97" spans="1:8" x14ac:dyDescent="0.3">
      <c r="A97">
        <v>96</v>
      </c>
      <c r="B97">
        <v>4</v>
      </c>
      <c r="C97" s="4">
        <v>45331</v>
      </c>
      <c r="D97" s="4" t="s">
        <v>8</v>
      </c>
      <c r="E97" t="s">
        <v>9</v>
      </c>
      <c r="F97" s="5">
        <v>21.32</v>
      </c>
      <c r="G97">
        <v>1.23</v>
      </c>
      <c r="H97" s="6">
        <v>0.5</v>
      </c>
    </row>
    <row r="98" spans="1:8" x14ac:dyDescent="0.3">
      <c r="A98">
        <v>97</v>
      </c>
      <c r="B98">
        <v>4</v>
      </c>
      <c r="C98" s="4">
        <v>45354</v>
      </c>
      <c r="D98" s="4" t="s">
        <v>10</v>
      </c>
      <c r="E98" t="s">
        <v>11</v>
      </c>
      <c r="F98" s="5">
        <v>22.32</v>
      </c>
      <c r="G98">
        <v>3.23</v>
      </c>
      <c r="H98" s="6">
        <v>0.91</v>
      </c>
    </row>
    <row r="99" spans="1:8" x14ac:dyDescent="0.3">
      <c r="A99">
        <v>98</v>
      </c>
      <c r="B99">
        <v>6</v>
      </c>
      <c r="C99" s="4">
        <v>45385</v>
      </c>
      <c r="D99" s="4" t="s">
        <v>10</v>
      </c>
      <c r="E99" t="s">
        <v>11</v>
      </c>
      <c r="F99" s="5">
        <v>72.319999999999993</v>
      </c>
      <c r="G99">
        <v>2.42</v>
      </c>
      <c r="H99" s="6">
        <v>0.39</v>
      </c>
    </row>
    <row r="100" spans="1:8" x14ac:dyDescent="0.3">
      <c r="A100">
        <v>99</v>
      </c>
      <c r="B100">
        <v>5</v>
      </c>
      <c r="C100" s="4">
        <v>45415</v>
      </c>
      <c r="D100" s="4" t="s">
        <v>8</v>
      </c>
      <c r="E100" t="s">
        <v>9</v>
      </c>
      <c r="F100" s="5">
        <v>30.12</v>
      </c>
      <c r="G100">
        <v>2.33</v>
      </c>
      <c r="H100" s="6">
        <v>0.71</v>
      </c>
    </row>
    <row r="101" spans="1:8" x14ac:dyDescent="0.3">
      <c r="A101">
        <v>100</v>
      </c>
      <c r="B101">
        <v>5</v>
      </c>
      <c r="C101" s="4">
        <v>45446</v>
      </c>
      <c r="D101" s="4" t="s">
        <v>14</v>
      </c>
      <c r="E101" t="s">
        <v>11</v>
      </c>
      <c r="F101" s="5">
        <v>22.32</v>
      </c>
      <c r="G101">
        <v>3.64</v>
      </c>
      <c r="H101" s="6">
        <v>0.84</v>
      </c>
    </row>
    <row r="102" spans="1:8" x14ac:dyDescent="0.3">
      <c r="A102">
        <v>101</v>
      </c>
      <c r="B102">
        <v>6</v>
      </c>
      <c r="C102" s="4">
        <v>45476</v>
      </c>
      <c r="D102" s="4" t="s">
        <v>12</v>
      </c>
      <c r="E102" t="s">
        <v>11</v>
      </c>
      <c r="F102" s="5">
        <v>38.14</v>
      </c>
      <c r="G102">
        <v>4.12</v>
      </c>
      <c r="H102" s="6">
        <v>0.44</v>
      </c>
    </row>
    <row r="103" spans="1:8" x14ac:dyDescent="0.3">
      <c r="A103">
        <v>102</v>
      </c>
      <c r="B103">
        <v>6</v>
      </c>
      <c r="C103" s="4">
        <v>45507</v>
      </c>
      <c r="D103" s="4" t="s">
        <v>8</v>
      </c>
      <c r="E103" t="s">
        <v>9</v>
      </c>
      <c r="F103" s="5">
        <v>38.14</v>
      </c>
      <c r="G103">
        <v>1.23</v>
      </c>
      <c r="H103" s="6">
        <v>0.4</v>
      </c>
    </row>
    <row r="104" spans="1:8" x14ac:dyDescent="0.3">
      <c r="A104">
        <v>103</v>
      </c>
      <c r="B104">
        <v>3</v>
      </c>
      <c r="C104" s="4">
        <v>45538</v>
      </c>
      <c r="D104" s="4" t="s">
        <v>13</v>
      </c>
      <c r="E104" t="s">
        <v>11</v>
      </c>
      <c r="F104" s="5">
        <v>38.14</v>
      </c>
      <c r="G104">
        <v>1.23</v>
      </c>
      <c r="H104" s="6">
        <v>0.57999999999999996</v>
      </c>
    </row>
    <row r="105" spans="1:8" x14ac:dyDescent="0.3">
      <c r="A105">
        <v>104</v>
      </c>
      <c r="B105">
        <v>4</v>
      </c>
      <c r="C105" s="4">
        <v>45568</v>
      </c>
      <c r="D105" s="4" t="s">
        <v>10</v>
      </c>
      <c r="E105" t="s">
        <v>11</v>
      </c>
      <c r="F105" s="5">
        <v>92.32</v>
      </c>
      <c r="G105">
        <v>1.23</v>
      </c>
      <c r="H105" s="6">
        <v>0.75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7E1D-E4CD-4EDB-B854-A35EF4051AB4}">
  <dimension ref="A1:AI105"/>
  <sheetViews>
    <sheetView topLeftCell="J1" zoomScale="160" zoomScaleNormal="160" workbookViewId="0">
      <selection activeCell="S4" sqref="S4"/>
    </sheetView>
  </sheetViews>
  <sheetFormatPr defaultRowHeight="14.4" x14ac:dyDescent="0.3"/>
  <cols>
    <col min="1" max="1" width="14.77734375" bestFit="1" customWidth="1"/>
    <col min="2" max="2" width="9" bestFit="1" customWidth="1"/>
    <col min="3" max="3" width="12" bestFit="1" customWidth="1"/>
    <col min="4" max="4" width="14.77734375" bestFit="1" customWidth="1"/>
    <col min="5" max="6" width="9.88671875" bestFit="1" customWidth="1"/>
    <col min="7" max="7" width="12" bestFit="1" customWidth="1"/>
    <col min="8" max="8" width="11.6640625" bestFit="1" customWidth="1"/>
    <col min="10" max="10" width="21.33203125" customWidth="1"/>
    <col min="12" max="12" width="10.6640625" style="4" bestFit="1" customWidth="1"/>
  </cols>
  <sheetData>
    <row r="1" spans="1:3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J1" s="1" t="s">
        <v>26</v>
      </c>
    </row>
    <row r="2" spans="1:35" x14ac:dyDescent="0.3">
      <c r="A2">
        <v>1</v>
      </c>
      <c r="B2">
        <v>2</v>
      </c>
      <c r="C2" s="4">
        <v>42012</v>
      </c>
      <c r="D2" s="4" t="s">
        <v>8</v>
      </c>
      <c r="E2" t="s">
        <v>9</v>
      </c>
      <c r="F2" s="5">
        <v>35</v>
      </c>
      <c r="G2">
        <v>1.35</v>
      </c>
      <c r="H2" s="6">
        <v>7.0000000000000007E-2</v>
      </c>
    </row>
    <row r="3" spans="1:35" x14ac:dyDescent="0.3">
      <c r="A3">
        <v>2</v>
      </c>
      <c r="B3">
        <v>2</v>
      </c>
      <c r="C3" s="4">
        <v>42012</v>
      </c>
      <c r="D3" s="4" t="s">
        <v>10</v>
      </c>
      <c r="E3" t="s">
        <v>11</v>
      </c>
      <c r="F3" s="5">
        <v>25.17</v>
      </c>
      <c r="G3">
        <v>3.21</v>
      </c>
      <c r="H3" s="6">
        <v>0.16</v>
      </c>
      <c r="J3" s="1" t="s">
        <v>0</v>
      </c>
      <c r="K3" s="1" t="s">
        <v>1</v>
      </c>
      <c r="L3" s="2" t="s">
        <v>2</v>
      </c>
      <c r="M3" s="2" t="s">
        <v>3</v>
      </c>
      <c r="N3" s="1" t="s">
        <v>4</v>
      </c>
      <c r="O3" s="3" t="s">
        <v>5</v>
      </c>
      <c r="P3" s="1" t="s">
        <v>6</v>
      </c>
      <c r="Q3" s="1" t="s">
        <v>7</v>
      </c>
      <c r="S3" s="1" t="s">
        <v>0</v>
      </c>
      <c r="T3" s="1" t="s">
        <v>1</v>
      </c>
      <c r="U3" s="2" t="s">
        <v>2</v>
      </c>
      <c r="V3" s="2" t="s">
        <v>3</v>
      </c>
      <c r="W3" s="1" t="s">
        <v>4</v>
      </c>
      <c r="X3" s="3" t="s">
        <v>5</v>
      </c>
      <c r="Y3" s="1" t="s">
        <v>6</v>
      </c>
      <c r="Z3" s="1" t="s">
        <v>7</v>
      </c>
      <c r="AB3" s="1" t="s">
        <v>0</v>
      </c>
      <c r="AC3" s="1" t="s">
        <v>1</v>
      </c>
      <c r="AD3" s="2" t="s">
        <v>2</v>
      </c>
      <c r="AE3" s="2" t="s">
        <v>3</v>
      </c>
      <c r="AF3" s="1" t="s">
        <v>4</v>
      </c>
      <c r="AG3" s="3" t="s">
        <v>5</v>
      </c>
      <c r="AH3" s="1" t="s">
        <v>6</v>
      </c>
      <c r="AI3" s="1" t="s">
        <v>7</v>
      </c>
    </row>
    <row r="4" spans="1:35" x14ac:dyDescent="0.3">
      <c r="A4">
        <v>3</v>
      </c>
      <c r="B4">
        <v>5</v>
      </c>
      <c r="C4" s="4">
        <v>42038</v>
      </c>
      <c r="D4" s="4" t="s">
        <v>8</v>
      </c>
      <c r="E4" t="s">
        <v>9</v>
      </c>
      <c r="F4" s="5">
        <v>38.14</v>
      </c>
      <c r="G4">
        <v>2.41</v>
      </c>
      <c r="H4" s="6">
        <v>0.2</v>
      </c>
      <c r="J4" cm="1">
        <f t="array" ref="J4:Q55">_xlfn._xlws.FILTER(A2:H105,(E2:E105="Software"),"righe non presenti")</f>
        <v>1</v>
      </c>
      <c r="K4">
        <v>2</v>
      </c>
      <c r="L4" s="4">
        <v>42012</v>
      </c>
      <c r="M4" t="str">
        <v>001-SFT-001</v>
      </c>
      <c r="N4" t="str">
        <v>Software</v>
      </c>
      <c r="O4">
        <v>35</v>
      </c>
      <c r="P4">
        <v>1.35</v>
      </c>
      <c r="Q4">
        <v>7.0000000000000007E-2</v>
      </c>
      <c r="S4" cm="1">
        <f t="array" ref="S4:Z55">_xlfn._xlws.SORT(_xlfn.ANCHORARRAY(J4),6,-1)</f>
        <v>71</v>
      </c>
      <c r="T4">
        <v>2</v>
      </c>
      <c r="U4">
        <v>45141</v>
      </c>
      <c r="V4" t="str">
        <v>001-SFT-001</v>
      </c>
      <c r="W4" t="str">
        <v>Software</v>
      </c>
      <c r="X4">
        <v>100</v>
      </c>
      <c r="Y4">
        <v>2.3199999999999998</v>
      </c>
      <c r="Z4">
        <v>0.32</v>
      </c>
      <c r="AB4" cm="1">
        <f t="array" ref="AB4:AI6">_xlfn.CHOOSEROWS(_xlfn.ANCHORARRAY(S4),1,2,3)</f>
        <v>71</v>
      </c>
      <c r="AC4">
        <v>2</v>
      </c>
      <c r="AD4">
        <v>45141</v>
      </c>
      <c r="AE4" t="str">
        <v>001-SFT-001</v>
      </c>
      <c r="AF4" t="str">
        <v>Software</v>
      </c>
      <c r="AG4">
        <v>100</v>
      </c>
      <c r="AH4">
        <v>2.3199999999999998</v>
      </c>
      <c r="AI4">
        <v>0.32</v>
      </c>
    </row>
    <row r="5" spans="1:35" x14ac:dyDescent="0.3">
      <c r="A5">
        <v>4</v>
      </c>
      <c r="B5">
        <v>4</v>
      </c>
      <c r="C5" s="4">
        <v>42066</v>
      </c>
      <c r="D5" s="4" t="s">
        <v>8</v>
      </c>
      <c r="E5" t="s">
        <v>11</v>
      </c>
      <c r="F5" s="5">
        <v>39.14</v>
      </c>
      <c r="G5">
        <v>2.15</v>
      </c>
      <c r="H5" s="6">
        <v>0.46</v>
      </c>
      <c r="J5">
        <v>3</v>
      </c>
      <c r="K5">
        <v>5</v>
      </c>
      <c r="L5" s="4">
        <v>42038</v>
      </c>
      <c r="M5" t="str">
        <v>001-SFT-001</v>
      </c>
      <c r="N5" t="str">
        <v>Software</v>
      </c>
      <c r="O5">
        <v>38.14</v>
      </c>
      <c r="P5">
        <v>2.41</v>
      </c>
      <c r="Q5">
        <v>0.2</v>
      </c>
      <c r="S5">
        <v>16</v>
      </c>
      <c r="T5">
        <v>6</v>
      </c>
      <c r="U5">
        <v>43468</v>
      </c>
      <c r="V5" t="str">
        <v>001-SFT-001</v>
      </c>
      <c r="W5" t="str">
        <v>Software</v>
      </c>
      <c r="X5">
        <v>92.32</v>
      </c>
      <c r="Y5">
        <v>4.12</v>
      </c>
      <c r="Z5">
        <v>0.69</v>
      </c>
      <c r="AB5">
        <v>16</v>
      </c>
      <c r="AC5">
        <v>6</v>
      </c>
      <c r="AD5">
        <v>43468</v>
      </c>
      <c r="AE5" t="str">
        <v>001-SFT-001</v>
      </c>
      <c r="AF5" t="str">
        <v>Software</v>
      </c>
      <c r="AG5">
        <v>92.32</v>
      </c>
      <c r="AH5">
        <v>4.12</v>
      </c>
      <c r="AI5">
        <v>0.69</v>
      </c>
    </row>
    <row r="6" spans="1:35" x14ac:dyDescent="0.3">
      <c r="A6">
        <v>5</v>
      </c>
      <c r="B6">
        <v>6</v>
      </c>
      <c r="C6" s="4">
        <v>42467</v>
      </c>
      <c r="D6" s="4" t="s">
        <v>10</v>
      </c>
      <c r="E6" t="s">
        <v>9</v>
      </c>
      <c r="F6" s="5">
        <v>55.14</v>
      </c>
      <c r="G6">
        <v>2.3199999999999998</v>
      </c>
      <c r="H6" s="6">
        <v>0.66</v>
      </c>
      <c r="J6">
        <v>5</v>
      </c>
      <c r="K6">
        <v>6</v>
      </c>
      <c r="L6" s="4">
        <v>42467</v>
      </c>
      <c r="M6" t="str">
        <v>001-CDC-001</v>
      </c>
      <c r="N6" t="str">
        <v>Software</v>
      </c>
      <c r="O6">
        <v>55.14</v>
      </c>
      <c r="P6">
        <v>2.3199999999999998</v>
      </c>
      <c r="Q6">
        <v>0.66</v>
      </c>
      <c r="S6">
        <v>33</v>
      </c>
      <c r="T6">
        <v>3</v>
      </c>
      <c r="U6">
        <v>43985</v>
      </c>
      <c r="V6" t="str">
        <v>001-SFT-001</v>
      </c>
      <c r="W6" t="str">
        <v>Software</v>
      </c>
      <c r="X6">
        <v>92.32</v>
      </c>
      <c r="Y6">
        <v>4.12</v>
      </c>
      <c r="Z6">
        <v>0.57999999999999996</v>
      </c>
      <c r="AB6">
        <v>33</v>
      </c>
      <c r="AC6">
        <v>3</v>
      </c>
      <c r="AD6">
        <v>43985</v>
      </c>
      <c r="AE6" t="str">
        <v>001-SFT-001</v>
      </c>
      <c r="AF6" t="str">
        <v>Software</v>
      </c>
      <c r="AG6">
        <v>92.32</v>
      </c>
      <c r="AH6">
        <v>4.12</v>
      </c>
      <c r="AI6">
        <v>0.57999999999999996</v>
      </c>
    </row>
    <row r="7" spans="1:35" x14ac:dyDescent="0.3">
      <c r="A7">
        <v>6</v>
      </c>
      <c r="B7">
        <v>3</v>
      </c>
      <c r="C7" s="4">
        <v>42491</v>
      </c>
      <c r="D7" s="4" t="s">
        <v>12</v>
      </c>
      <c r="E7" t="s">
        <v>11</v>
      </c>
      <c r="F7" s="5">
        <v>22.32</v>
      </c>
      <c r="G7">
        <v>2.0499999999999998</v>
      </c>
      <c r="H7" s="6">
        <v>0.56999999999999995</v>
      </c>
      <c r="J7">
        <v>8</v>
      </c>
      <c r="K7">
        <v>5</v>
      </c>
      <c r="L7" s="4">
        <v>42654</v>
      </c>
      <c r="M7" t="str">
        <v>001-SFT-001</v>
      </c>
      <c r="N7" t="str">
        <v>Software</v>
      </c>
      <c r="O7">
        <v>22.32</v>
      </c>
      <c r="P7">
        <v>4.2300000000000004</v>
      </c>
      <c r="Q7">
        <v>0.26</v>
      </c>
      <c r="S7">
        <v>50</v>
      </c>
      <c r="T7">
        <v>5</v>
      </c>
      <c r="U7">
        <v>44503</v>
      </c>
      <c r="V7" t="str">
        <v>001-SFT-001</v>
      </c>
      <c r="W7" t="str">
        <v>Software</v>
      </c>
      <c r="X7">
        <v>92.32</v>
      </c>
      <c r="Y7">
        <v>4.12</v>
      </c>
      <c r="Z7">
        <v>0.59</v>
      </c>
    </row>
    <row r="8" spans="1:35" x14ac:dyDescent="0.3">
      <c r="A8">
        <v>7</v>
      </c>
      <c r="B8">
        <v>6</v>
      </c>
      <c r="C8" s="4">
        <v>42583</v>
      </c>
      <c r="D8" s="4" t="s">
        <v>10</v>
      </c>
      <c r="E8" t="s">
        <v>11</v>
      </c>
      <c r="F8" s="5">
        <v>21.32</v>
      </c>
      <c r="G8">
        <v>3.21</v>
      </c>
      <c r="H8" s="6">
        <v>0.18</v>
      </c>
      <c r="J8">
        <v>9</v>
      </c>
      <c r="K8">
        <v>6</v>
      </c>
      <c r="L8" s="4">
        <v>43019</v>
      </c>
      <c r="M8" t="str">
        <v>001-SFT-001</v>
      </c>
      <c r="N8" t="str">
        <v>Software</v>
      </c>
      <c r="O8">
        <v>72.319999999999993</v>
      </c>
      <c r="P8">
        <v>5.34</v>
      </c>
      <c r="Q8">
        <v>0.37</v>
      </c>
      <c r="S8">
        <v>68</v>
      </c>
      <c r="T8">
        <v>2</v>
      </c>
      <c r="U8">
        <v>45049</v>
      </c>
      <c r="V8" t="str">
        <v>001-SFT-001</v>
      </c>
      <c r="W8" t="str">
        <v>Software</v>
      </c>
      <c r="X8">
        <v>92.32</v>
      </c>
      <c r="Y8">
        <v>1.23</v>
      </c>
      <c r="Z8">
        <v>0.46</v>
      </c>
    </row>
    <row r="9" spans="1:35" x14ac:dyDescent="0.3">
      <c r="A9">
        <v>8</v>
      </c>
      <c r="B9">
        <v>5</v>
      </c>
      <c r="C9" s="4">
        <v>42654</v>
      </c>
      <c r="D9" s="4" t="s">
        <v>8</v>
      </c>
      <c r="E9" t="s">
        <v>9</v>
      </c>
      <c r="F9" s="5">
        <v>22.32</v>
      </c>
      <c r="G9">
        <v>4.2300000000000004</v>
      </c>
      <c r="H9" s="6">
        <v>0.26</v>
      </c>
      <c r="J9">
        <v>12</v>
      </c>
      <c r="K9">
        <v>4</v>
      </c>
      <c r="L9" s="4">
        <v>43080</v>
      </c>
      <c r="M9" t="str">
        <v>001-SFT-001</v>
      </c>
      <c r="N9" t="str">
        <v>Software</v>
      </c>
      <c r="O9">
        <v>38.14</v>
      </c>
      <c r="P9">
        <v>3.23</v>
      </c>
      <c r="Q9">
        <v>0.01</v>
      </c>
      <c r="S9">
        <v>9</v>
      </c>
      <c r="T9">
        <v>6</v>
      </c>
      <c r="U9">
        <v>43019</v>
      </c>
      <c r="V9" t="str">
        <v>001-SFT-001</v>
      </c>
      <c r="W9" t="str">
        <v>Software</v>
      </c>
      <c r="X9">
        <v>72.319999999999993</v>
      </c>
      <c r="Y9">
        <v>5.34</v>
      </c>
      <c r="Z9">
        <v>0.37</v>
      </c>
    </row>
    <row r="10" spans="1:35" x14ac:dyDescent="0.3">
      <c r="A10">
        <v>9</v>
      </c>
      <c r="B10">
        <v>6</v>
      </c>
      <c r="C10" s="4">
        <v>43019</v>
      </c>
      <c r="D10" s="4" t="s">
        <v>8</v>
      </c>
      <c r="E10" t="s">
        <v>9</v>
      </c>
      <c r="F10" s="5">
        <v>72.319999999999993</v>
      </c>
      <c r="G10">
        <v>5.34</v>
      </c>
      <c r="H10" s="6">
        <v>0.37</v>
      </c>
      <c r="J10">
        <v>14</v>
      </c>
      <c r="K10">
        <v>5</v>
      </c>
      <c r="L10" s="4">
        <v>43451</v>
      </c>
      <c r="M10" t="str">
        <v>001-SFT-001</v>
      </c>
      <c r="N10" t="str">
        <v>Software</v>
      </c>
      <c r="O10">
        <v>38.14</v>
      </c>
      <c r="P10">
        <v>2.33</v>
      </c>
      <c r="Q10">
        <v>0.38</v>
      </c>
      <c r="S10">
        <v>26</v>
      </c>
      <c r="T10">
        <v>1</v>
      </c>
      <c r="U10">
        <v>43772</v>
      </c>
      <c r="V10" t="str">
        <v>001-SFT-001</v>
      </c>
      <c r="W10" t="str">
        <v>Software</v>
      </c>
      <c r="X10">
        <v>72.319999999999993</v>
      </c>
      <c r="Y10">
        <v>5.34</v>
      </c>
      <c r="Z10">
        <v>0.59</v>
      </c>
    </row>
    <row r="11" spans="1:35" x14ac:dyDescent="0.3">
      <c r="A11">
        <v>10</v>
      </c>
      <c r="B11">
        <v>1</v>
      </c>
      <c r="C11" s="4">
        <v>43025</v>
      </c>
      <c r="D11" s="4" t="s">
        <v>10</v>
      </c>
      <c r="E11" t="s">
        <v>11</v>
      </c>
      <c r="F11" s="5">
        <v>30.12</v>
      </c>
      <c r="G11">
        <v>2.7</v>
      </c>
      <c r="H11" s="6">
        <v>0.6</v>
      </c>
      <c r="J11">
        <v>16</v>
      </c>
      <c r="K11">
        <v>6</v>
      </c>
      <c r="L11" s="4">
        <v>43468</v>
      </c>
      <c r="M11" t="str">
        <v>001-SFT-001</v>
      </c>
      <c r="N11" t="str">
        <v>Software</v>
      </c>
      <c r="O11">
        <v>92.32</v>
      </c>
      <c r="P11">
        <v>4.12</v>
      </c>
      <c r="Q11">
        <v>0.69</v>
      </c>
      <c r="S11">
        <v>43</v>
      </c>
      <c r="T11">
        <v>5</v>
      </c>
      <c r="U11">
        <v>44289</v>
      </c>
      <c r="V11" t="str">
        <v>001-SFT-001</v>
      </c>
      <c r="W11" t="str">
        <v>Software</v>
      </c>
      <c r="X11">
        <v>72.319999999999993</v>
      </c>
      <c r="Y11">
        <v>5.34</v>
      </c>
      <c r="Z11">
        <v>0.19</v>
      </c>
    </row>
    <row r="12" spans="1:35" x14ac:dyDescent="0.3">
      <c r="A12">
        <v>11</v>
      </c>
      <c r="B12">
        <v>5</v>
      </c>
      <c r="C12" s="4">
        <v>43025</v>
      </c>
      <c r="D12" s="4" t="s">
        <v>13</v>
      </c>
      <c r="E12" t="s">
        <v>11</v>
      </c>
      <c r="F12" s="5">
        <v>22.32</v>
      </c>
      <c r="G12">
        <v>1.23</v>
      </c>
      <c r="H12" s="6">
        <v>0.02</v>
      </c>
      <c r="J12">
        <v>20</v>
      </c>
      <c r="K12">
        <v>2</v>
      </c>
      <c r="L12" s="4">
        <v>43588</v>
      </c>
      <c r="M12" t="str">
        <v>001-SFT-001</v>
      </c>
      <c r="N12" t="str">
        <v>Software</v>
      </c>
      <c r="O12">
        <v>38.14</v>
      </c>
      <c r="P12">
        <v>2.41</v>
      </c>
      <c r="Q12">
        <v>0.43</v>
      </c>
      <c r="S12">
        <v>62</v>
      </c>
      <c r="T12">
        <v>3</v>
      </c>
      <c r="U12">
        <v>44868</v>
      </c>
      <c r="V12" t="str">
        <v>001-SFT-001</v>
      </c>
      <c r="W12" t="str">
        <v>Software</v>
      </c>
      <c r="X12">
        <v>72.319999999999993</v>
      </c>
      <c r="Y12">
        <v>0.57999999999999996</v>
      </c>
      <c r="Z12">
        <v>0.4</v>
      </c>
    </row>
    <row r="13" spans="1:35" x14ac:dyDescent="0.3">
      <c r="A13">
        <v>12</v>
      </c>
      <c r="B13">
        <v>4</v>
      </c>
      <c r="C13" s="4">
        <v>43080</v>
      </c>
      <c r="D13" s="4" t="s">
        <v>8</v>
      </c>
      <c r="E13" t="s">
        <v>9</v>
      </c>
      <c r="F13" s="5">
        <v>38.14</v>
      </c>
      <c r="G13">
        <v>3.23</v>
      </c>
      <c r="H13" s="6">
        <v>0.01</v>
      </c>
      <c r="J13">
        <v>21</v>
      </c>
      <c r="K13">
        <v>6</v>
      </c>
      <c r="L13" s="4">
        <v>43619</v>
      </c>
      <c r="M13" t="str">
        <v>001-SFT-001</v>
      </c>
      <c r="N13" t="str">
        <v>Software</v>
      </c>
      <c r="O13">
        <v>39.14</v>
      </c>
      <c r="P13">
        <v>2.15</v>
      </c>
      <c r="Q13">
        <v>7.0000000000000007E-2</v>
      </c>
      <c r="S13">
        <v>5</v>
      </c>
      <c r="T13">
        <v>6</v>
      </c>
      <c r="U13">
        <v>42467</v>
      </c>
      <c r="V13" t="str">
        <v>001-CDC-001</v>
      </c>
      <c r="W13" t="str">
        <v>Software</v>
      </c>
      <c r="X13">
        <v>55.14</v>
      </c>
      <c r="Y13">
        <v>2.3199999999999998</v>
      </c>
      <c r="Z13">
        <v>0.66</v>
      </c>
    </row>
    <row r="14" spans="1:35" x14ac:dyDescent="0.3">
      <c r="A14">
        <v>13</v>
      </c>
      <c r="B14">
        <v>2</v>
      </c>
      <c r="C14" s="4">
        <v>43451</v>
      </c>
      <c r="D14" s="4" t="s">
        <v>12</v>
      </c>
      <c r="E14" t="s">
        <v>11</v>
      </c>
      <c r="F14" s="5">
        <v>38.14</v>
      </c>
      <c r="G14">
        <v>2.42</v>
      </c>
      <c r="H14" s="6">
        <v>0.21</v>
      </c>
      <c r="J14">
        <v>25</v>
      </c>
      <c r="K14">
        <v>3</v>
      </c>
      <c r="L14" s="4">
        <v>43741</v>
      </c>
      <c r="M14" t="str">
        <v>001-SFT-001</v>
      </c>
      <c r="N14" t="str">
        <v>Software</v>
      </c>
      <c r="O14">
        <v>22.32</v>
      </c>
      <c r="P14">
        <v>4.2300000000000004</v>
      </c>
      <c r="Q14">
        <v>0.85</v>
      </c>
      <c r="S14">
        <v>21</v>
      </c>
      <c r="T14">
        <v>6</v>
      </c>
      <c r="U14">
        <v>43619</v>
      </c>
      <c r="V14" t="str">
        <v>001-SFT-001</v>
      </c>
      <c r="W14" t="str">
        <v>Software</v>
      </c>
      <c r="X14">
        <v>39.14</v>
      </c>
      <c r="Y14">
        <v>2.15</v>
      </c>
      <c r="Z14">
        <v>7.0000000000000007E-2</v>
      </c>
    </row>
    <row r="15" spans="1:35" x14ac:dyDescent="0.3">
      <c r="A15">
        <v>14</v>
      </c>
      <c r="B15">
        <v>5</v>
      </c>
      <c r="C15" s="4">
        <v>43451</v>
      </c>
      <c r="D15" s="4" t="s">
        <v>8</v>
      </c>
      <c r="E15" t="s">
        <v>9</v>
      </c>
      <c r="F15" s="5">
        <v>38.14</v>
      </c>
      <c r="G15">
        <v>2.33</v>
      </c>
      <c r="H15" s="6">
        <v>0.38</v>
      </c>
      <c r="J15">
        <v>26</v>
      </c>
      <c r="K15">
        <v>1</v>
      </c>
      <c r="L15" s="4">
        <v>43772</v>
      </c>
      <c r="M15" t="str">
        <v>001-SFT-001</v>
      </c>
      <c r="N15" t="str">
        <v>Software</v>
      </c>
      <c r="O15">
        <v>72.319999999999993</v>
      </c>
      <c r="P15">
        <v>5.34</v>
      </c>
      <c r="Q15">
        <v>0.59</v>
      </c>
      <c r="S15">
        <v>38</v>
      </c>
      <c r="T15">
        <v>3</v>
      </c>
      <c r="U15">
        <v>44138</v>
      </c>
      <c r="V15" t="str">
        <v>001-SFT-001</v>
      </c>
      <c r="W15" t="str">
        <v>Software</v>
      </c>
      <c r="X15">
        <v>39.14</v>
      </c>
      <c r="Y15">
        <v>2.15</v>
      </c>
      <c r="Z15">
        <v>0.95</v>
      </c>
    </row>
    <row r="16" spans="1:35" x14ac:dyDescent="0.3">
      <c r="A16">
        <v>15</v>
      </c>
      <c r="B16">
        <v>3</v>
      </c>
      <c r="C16" s="4">
        <v>43468</v>
      </c>
      <c r="D16" s="4" t="s">
        <v>14</v>
      </c>
      <c r="E16" t="s">
        <v>11</v>
      </c>
      <c r="F16" s="5">
        <v>92.32</v>
      </c>
      <c r="G16">
        <v>3.64</v>
      </c>
      <c r="H16" s="6">
        <v>0.99</v>
      </c>
      <c r="J16">
        <v>29</v>
      </c>
      <c r="K16">
        <v>2</v>
      </c>
      <c r="L16" s="4">
        <v>43864</v>
      </c>
      <c r="M16" t="str">
        <v>001-SFT-001</v>
      </c>
      <c r="N16" t="str">
        <v>Software</v>
      </c>
      <c r="O16">
        <v>38.14</v>
      </c>
      <c r="P16">
        <v>3.23</v>
      </c>
      <c r="Q16">
        <v>0.51</v>
      </c>
      <c r="S16">
        <v>74</v>
      </c>
      <c r="T16">
        <v>5</v>
      </c>
      <c r="U16">
        <v>45233</v>
      </c>
      <c r="V16" t="str">
        <v>001-SFT-001</v>
      </c>
      <c r="W16" t="str">
        <v>Software</v>
      </c>
      <c r="X16">
        <v>39.14</v>
      </c>
      <c r="Y16">
        <v>4.2300000000000004</v>
      </c>
      <c r="Z16">
        <v>0.44</v>
      </c>
    </row>
    <row r="17" spans="1:26" x14ac:dyDescent="0.3">
      <c r="A17">
        <v>16</v>
      </c>
      <c r="B17">
        <v>6</v>
      </c>
      <c r="C17" s="4">
        <v>43468</v>
      </c>
      <c r="D17" s="4" t="s">
        <v>8</v>
      </c>
      <c r="E17" t="s">
        <v>9</v>
      </c>
      <c r="F17" s="5">
        <v>92.32</v>
      </c>
      <c r="G17">
        <v>4.12</v>
      </c>
      <c r="H17" s="6">
        <v>0.69</v>
      </c>
      <c r="J17">
        <v>31</v>
      </c>
      <c r="K17">
        <v>2</v>
      </c>
      <c r="L17" s="4">
        <v>43924</v>
      </c>
      <c r="M17" t="str">
        <v>001-SFT-001</v>
      </c>
      <c r="N17" t="str">
        <v>Software</v>
      </c>
      <c r="O17">
        <v>38.14</v>
      </c>
      <c r="P17">
        <v>2.33</v>
      </c>
      <c r="Q17">
        <v>0.14000000000000001</v>
      </c>
      <c r="S17">
        <v>3</v>
      </c>
      <c r="T17">
        <v>5</v>
      </c>
      <c r="U17">
        <v>42038</v>
      </c>
      <c r="V17" t="str">
        <v>001-SFT-001</v>
      </c>
      <c r="W17" t="str">
        <v>Software</v>
      </c>
      <c r="X17">
        <v>38.14</v>
      </c>
      <c r="Y17">
        <v>2.41</v>
      </c>
      <c r="Z17">
        <v>0.2</v>
      </c>
    </row>
    <row r="18" spans="1:26" x14ac:dyDescent="0.3">
      <c r="A18">
        <v>17</v>
      </c>
      <c r="B18">
        <v>6</v>
      </c>
      <c r="C18" s="4">
        <v>43499</v>
      </c>
      <c r="D18" s="4" t="s">
        <v>13</v>
      </c>
      <c r="E18" t="s">
        <v>11</v>
      </c>
      <c r="F18" s="5">
        <v>50</v>
      </c>
      <c r="G18">
        <v>1.23</v>
      </c>
      <c r="H18" s="6">
        <v>0.92</v>
      </c>
      <c r="J18">
        <v>33</v>
      </c>
      <c r="K18">
        <v>3</v>
      </c>
      <c r="L18" s="4">
        <v>43985</v>
      </c>
      <c r="M18" t="str">
        <v>001-SFT-001</v>
      </c>
      <c r="N18" t="str">
        <v>Software</v>
      </c>
      <c r="O18">
        <v>92.32</v>
      </c>
      <c r="P18">
        <v>4.12</v>
      </c>
      <c r="Q18">
        <v>0.57999999999999996</v>
      </c>
      <c r="S18">
        <v>12</v>
      </c>
      <c r="T18">
        <v>4</v>
      </c>
      <c r="U18">
        <v>43080</v>
      </c>
      <c r="V18" t="str">
        <v>001-SFT-001</v>
      </c>
      <c r="W18" t="str">
        <v>Software</v>
      </c>
      <c r="X18">
        <v>38.14</v>
      </c>
      <c r="Y18">
        <v>3.23</v>
      </c>
      <c r="Z18">
        <v>0.01</v>
      </c>
    </row>
    <row r="19" spans="1:26" x14ac:dyDescent="0.3">
      <c r="A19">
        <v>18</v>
      </c>
      <c r="B19">
        <v>4</v>
      </c>
      <c r="C19" s="4">
        <v>43527</v>
      </c>
      <c r="D19" s="4" t="s">
        <v>12</v>
      </c>
      <c r="E19" t="s">
        <v>11</v>
      </c>
      <c r="F19" s="5">
        <v>100</v>
      </c>
      <c r="G19">
        <v>5.23</v>
      </c>
      <c r="H19" s="6">
        <v>0.82</v>
      </c>
      <c r="J19">
        <v>37</v>
      </c>
      <c r="K19">
        <v>2</v>
      </c>
      <c r="L19" s="4">
        <v>44107</v>
      </c>
      <c r="M19" t="str">
        <v>001-SFT-001</v>
      </c>
      <c r="N19" t="str">
        <v>Software</v>
      </c>
      <c r="O19">
        <v>38.14</v>
      </c>
      <c r="P19">
        <v>2.41</v>
      </c>
      <c r="Q19">
        <v>0.1</v>
      </c>
      <c r="S19">
        <v>14</v>
      </c>
      <c r="T19">
        <v>5</v>
      </c>
      <c r="U19">
        <v>43451</v>
      </c>
      <c r="V19" t="str">
        <v>001-SFT-001</v>
      </c>
      <c r="W19" t="str">
        <v>Software</v>
      </c>
      <c r="X19">
        <v>38.14</v>
      </c>
      <c r="Y19">
        <v>2.33</v>
      </c>
      <c r="Z19">
        <v>0.38</v>
      </c>
    </row>
    <row r="20" spans="1:26" x14ac:dyDescent="0.3">
      <c r="A20">
        <v>19</v>
      </c>
      <c r="B20">
        <v>6</v>
      </c>
      <c r="C20" s="4">
        <v>43558</v>
      </c>
      <c r="D20" s="4" t="s">
        <v>13</v>
      </c>
      <c r="E20" t="s">
        <v>11</v>
      </c>
      <c r="F20" s="5">
        <v>32.56</v>
      </c>
      <c r="G20">
        <v>3.21</v>
      </c>
      <c r="H20" s="6">
        <v>0.82</v>
      </c>
      <c r="J20">
        <v>38</v>
      </c>
      <c r="K20">
        <v>3</v>
      </c>
      <c r="L20" s="4">
        <v>44138</v>
      </c>
      <c r="M20" t="str">
        <v>001-SFT-001</v>
      </c>
      <c r="N20" t="str">
        <v>Software</v>
      </c>
      <c r="O20">
        <v>39.14</v>
      </c>
      <c r="P20">
        <v>2.15</v>
      </c>
      <c r="Q20">
        <v>0.95</v>
      </c>
      <c r="S20">
        <v>20</v>
      </c>
      <c r="T20">
        <v>2</v>
      </c>
      <c r="U20">
        <v>43588</v>
      </c>
      <c r="V20" t="str">
        <v>001-SFT-001</v>
      </c>
      <c r="W20" t="str">
        <v>Software</v>
      </c>
      <c r="X20">
        <v>38.14</v>
      </c>
      <c r="Y20">
        <v>2.41</v>
      </c>
      <c r="Z20">
        <v>0.43</v>
      </c>
    </row>
    <row r="21" spans="1:26" x14ac:dyDescent="0.3">
      <c r="A21">
        <v>20</v>
      </c>
      <c r="B21">
        <v>2</v>
      </c>
      <c r="C21" s="4">
        <v>43588</v>
      </c>
      <c r="D21" s="4" t="s">
        <v>8</v>
      </c>
      <c r="E21" t="s">
        <v>9</v>
      </c>
      <c r="F21" s="5">
        <v>38.14</v>
      </c>
      <c r="G21">
        <v>2.41</v>
      </c>
      <c r="H21" s="6">
        <v>0.43</v>
      </c>
      <c r="J21">
        <v>42</v>
      </c>
      <c r="K21">
        <v>1</v>
      </c>
      <c r="L21" s="4">
        <v>44258</v>
      </c>
      <c r="M21" t="str">
        <v>001-SFT-001</v>
      </c>
      <c r="N21" t="str">
        <v>Software</v>
      </c>
      <c r="O21">
        <v>22.32</v>
      </c>
      <c r="P21">
        <v>4.2300000000000004</v>
      </c>
      <c r="Q21">
        <v>0.64</v>
      </c>
      <c r="S21">
        <v>29</v>
      </c>
      <c r="T21">
        <v>2</v>
      </c>
      <c r="U21">
        <v>43864</v>
      </c>
      <c r="V21" t="str">
        <v>001-SFT-001</v>
      </c>
      <c r="W21" t="str">
        <v>Software</v>
      </c>
      <c r="X21">
        <v>38.14</v>
      </c>
      <c r="Y21">
        <v>3.23</v>
      </c>
      <c r="Z21">
        <v>0.51</v>
      </c>
    </row>
    <row r="22" spans="1:26" x14ac:dyDescent="0.3">
      <c r="A22">
        <v>21</v>
      </c>
      <c r="B22">
        <v>6</v>
      </c>
      <c r="C22" s="4">
        <v>43619</v>
      </c>
      <c r="D22" s="4" t="s">
        <v>8</v>
      </c>
      <c r="E22" t="s">
        <v>9</v>
      </c>
      <c r="F22" s="5">
        <v>39.14</v>
      </c>
      <c r="G22">
        <v>2.15</v>
      </c>
      <c r="H22" s="6">
        <v>7.0000000000000007E-2</v>
      </c>
      <c r="J22">
        <v>43</v>
      </c>
      <c r="K22">
        <v>5</v>
      </c>
      <c r="L22" s="4">
        <v>44289</v>
      </c>
      <c r="M22" t="str">
        <v>001-SFT-001</v>
      </c>
      <c r="N22" t="str">
        <v>Software</v>
      </c>
      <c r="O22">
        <v>72.319999999999993</v>
      </c>
      <c r="P22">
        <v>5.34</v>
      </c>
      <c r="Q22">
        <v>0.19</v>
      </c>
      <c r="S22">
        <v>31</v>
      </c>
      <c r="T22">
        <v>2</v>
      </c>
      <c r="U22">
        <v>43924</v>
      </c>
      <c r="V22" t="str">
        <v>001-SFT-001</v>
      </c>
      <c r="W22" t="str">
        <v>Software</v>
      </c>
      <c r="X22">
        <v>38.14</v>
      </c>
      <c r="Y22">
        <v>2.33</v>
      </c>
      <c r="Z22">
        <v>0.14000000000000001</v>
      </c>
    </row>
    <row r="23" spans="1:26" x14ac:dyDescent="0.3">
      <c r="A23">
        <v>22</v>
      </c>
      <c r="B23">
        <v>6</v>
      </c>
      <c r="C23" s="4">
        <v>43649</v>
      </c>
      <c r="D23" s="4" t="s">
        <v>14</v>
      </c>
      <c r="E23" t="s">
        <v>11</v>
      </c>
      <c r="F23" s="5">
        <v>55.14</v>
      </c>
      <c r="G23">
        <v>2.3199999999999998</v>
      </c>
      <c r="H23" s="6">
        <v>0.05</v>
      </c>
      <c r="J23">
        <v>46</v>
      </c>
      <c r="K23">
        <v>1</v>
      </c>
      <c r="L23" s="4">
        <v>44380</v>
      </c>
      <c r="M23" t="str">
        <v>001-SFT-001</v>
      </c>
      <c r="N23" t="str">
        <v>Software</v>
      </c>
      <c r="O23">
        <v>38.14</v>
      </c>
      <c r="P23">
        <v>3.23</v>
      </c>
      <c r="Q23">
        <v>0.87</v>
      </c>
      <c r="S23">
        <v>37</v>
      </c>
      <c r="T23">
        <v>2</v>
      </c>
      <c r="U23">
        <v>44107</v>
      </c>
      <c r="V23" t="str">
        <v>001-SFT-001</v>
      </c>
      <c r="W23" t="str">
        <v>Software</v>
      </c>
      <c r="X23">
        <v>38.14</v>
      </c>
      <c r="Y23">
        <v>2.41</v>
      </c>
      <c r="Z23">
        <v>0.1</v>
      </c>
    </row>
    <row r="24" spans="1:26" x14ac:dyDescent="0.3">
      <c r="A24">
        <v>23</v>
      </c>
      <c r="B24">
        <v>1</v>
      </c>
      <c r="C24" s="4">
        <v>43680</v>
      </c>
      <c r="D24" s="4" t="s">
        <v>12</v>
      </c>
      <c r="E24" t="s">
        <v>11</v>
      </c>
      <c r="F24" s="5">
        <v>22.32</v>
      </c>
      <c r="G24">
        <v>2.0499999999999998</v>
      </c>
      <c r="H24" s="6">
        <v>0.39</v>
      </c>
      <c r="J24">
        <v>48</v>
      </c>
      <c r="K24">
        <v>6</v>
      </c>
      <c r="L24" s="4">
        <v>44442</v>
      </c>
      <c r="M24" t="str">
        <v>001-SFT-001</v>
      </c>
      <c r="N24" t="str">
        <v>Software</v>
      </c>
      <c r="O24">
        <v>38.14</v>
      </c>
      <c r="P24">
        <v>2.33</v>
      </c>
      <c r="Q24">
        <v>0.51</v>
      </c>
      <c r="S24">
        <v>46</v>
      </c>
      <c r="T24">
        <v>1</v>
      </c>
      <c r="U24">
        <v>44380</v>
      </c>
      <c r="V24" t="str">
        <v>001-SFT-001</v>
      </c>
      <c r="W24" t="str">
        <v>Software</v>
      </c>
      <c r="X24">
        <v>38.14</v>
      </c>
      <c r="Y24">
        <v>3.23</v>
      </c>
      <c r="Z24">
        <v>0.87</v>
      </c>
    </row>
    <row r="25" spans="1:26" x14ac:dyDescent="0.3">
      <c r="A25">
        <v>24</v>
      </c>
      <c r="B25">
        <v>2</v>
      </c>
      <c r="C25" s="4">
        <v>43711</v>
      </c>
      <c r="D25" s="4" t="s">
        <v>12</v>
      </c>
      <c r="E25" t="s">
        <v>11</v>
      </c>
      <c r="F25" s="5">
        <v>21.32</v>
      </c>
      <c r="G25">
        <v>3.21</v>
      </c>
      <c r="H25" s="6">
        <v>0.74</v>
      </c>
      <c r="J25">
        <v>50</v>
      </c>
      <c r="K25">
        <v>5</v>
      </c>
      <c r="L25" s="4">
        <v>44503</v>
      </c>
      <c r="M25" t="str">
        <v>001-SFT-001</v>
      </c>
      <c r="N25" t="str">
        <v>Software</v>
      </c>
      <c r="O25">
        <v>92.32</v>
      </c>
      <c r="P25">
        <v>4.12</v>
      </c>
      <c r="Q25">
        <v>0.59</v>
      </c>
      <c r="S25">
        <v>48</v>
      </c>
      <c r="T25">
        <v>6</v>
      </c>
      <c r="U25">
        <v>44442</v>
      </c>
      <c r="V25" t="str">
        <v>001-SFT-001</v>
      </c>
      <c r="W25" t="str">
        <v>Software</v>
      </c>
      <c r="X25">
        <v>38.14</v>
      </c>
      <c r="Y25">
        <v>2.33</v>
      </c>
      <c r="Z25">
        <v>0.51</v>
      </c>
    </row>
    <row r="26" spans="1:26" x14ac:dyDescent="0.3">
      <c r="A26">
        <v>25</v>
      </c>
      <c r="B26">
        <v>3</v>
      </c>
      <c r="C26" s="4">
        <v>43741</v>
      </c>
      <c r="D26" s="4" t="s">
        <v>8</v>
      </c>
      <c r="E26" t="s">
        <v>9</v>
      </c>
      <c r="F26" s="5">
        <v>22.32</v>
      </c>
      <c r="G26">
        <v>4.2300000000000004</v>
      </c>
      <c r="H26" s="6">
        <v>0.85</v>
      </c>
      <c r="J26">
        <v>53</v>
      </c>
      <c r="K26">
        <v>5</v>
      </c>
      <c r="L26" s="4">
        <v>44595</v>
      </c>
      <c r="M26" t="str">
        <v>001-SFT-001</v>
      </c>
      <c r="N26" t="str">
        <v>Software</v>
      </c>
      <c r="O26">
        <v>14.73</v>
      </c>
      <c r="P26">
        <v>5.34</v>
      </c>
      <c r="Q26">
        <v>0.2</v>
      </c>
      <c r="S26">
        <v>56</v>
      </c>
      <c r="T26">
        <v>4</v>
      </c>
      <c r="U26">
        <v>44684</v>
      </c>
      <c r="V26" t="str">
        <v>001-SFT-001</v>
      </c>
      <c r="W26" t="str">
        <v>Software</v>
      </c>
      <c r="X26">
        <v>38.14</v>
      </c>
      <c r="Y26">
        <v>3.23</v>
      </c>
      <c r="Z26">
        <v>0.79</v>
      </c>
    </row>
    <row r="27" spans="1:26" x14ac:dyDescent="0.3">
      <c r="A27">
        <v>26</v>
      </c>
      <c r="B27">
        <v>1</v>
      </c>
      <c r="C27" s="4">
        <v>43772</v>
      </c>
      <c r="D27" s="4" t="s">
        <v>8</v>
      </c>
      <c r="E27" t="s">
        <v>9</v>
      </c>
      <c r="F27" s="5">
        <v>72.319999999999993</v>
      </c>
      <c r="G27">
        <v>5.34</v>
      </c>
      <c r="H27" s="6">
        <v>0.59</v>
      </c>
      <c r="J27">
        <v>56</v>
      </c>
      <c r="K27">
        <v>4</v>
      </c>
      <c r="L27" s="4">
        <v>44684</v>
      </c>
      <c r="M27" t="str">
        <v>001-SFT-001</v>
      </c>
      <c r="N27" t="str">
        <v>Software</v>
      </c>
      <c r="O27">
        <v>38.14</v>
      </c>
      <c r="P27">
        <v>3.23</v>
      </c>
      <c r="Q27">
        <v>0.79</v>
      </c>
      <c r="S27">
        <v>65</v>
      </c>
      <c r="T27">
        <v>2</v>
      </c>
      <c r="U27">
        <v>44960</v>
      </c>
      <c r="V27" t="str">
        <v>001-SFT-001</v>
      </c>
      <c r="W27" t="str">
        <v>Software</v>
      </c>
      <c r="X27">
        <v>38.14</v>
      </c>
      <c r="Y27">
        <v>4.2300000000000004</v>
      </c>
      <c r="Z27">
        <v>0.56999999999999995</v>
      </c>
    </row>
    <row r="28" spans="1:26" x14ac:dyDescent="0.3">
      <c r="A28">
        <v>27</v>
      </c>
      <c r="B28">
        <v>4</v>
      </c>
      <c r="C28" s="4">
        <v>43802</v>
      </c>
      <c r="D28" s="4" t="s">
        <v>10</v>
      </c>
      <c r="E28" t="s">
        <v>11</v>
      </c>
      <c r="F28" s="5">
        <v>30.12</v>
      </c>
      <c r="G28">
        <v>2.7</v>
      </c>
      <c r="H28" s="6">
        <v>0.53</v>
      </c>
      <c r="J28">
        <v>59</v>
      </c>
      <c r="K28">
        <v>1</v>
      </c>
      <c r="L28" s="4">
        <v>44776</v>
      </c>
      <c r="M28" t="str">
        <v>001-SFT-001</v>
      </c>
      <c r="N28" t="str">
        <v>Software</v>
      </c>
      <c r="O28">
        <v>22.32</v>
      </c>
      <c r="P28">
        <v>3.64</v>
      </c>
      <c r="Q28">
        <v>0.51</v>
      </c>
      <c r="S28">
        <v>102</v>
      </c>
      <c r="T28">
        <v>6</v>
      </c>
      <c r="U28">
        <v>45507</v>
      </c>
      <c r="V28" t="str">
        <v>001-SFT-001</v>
      </c>
      <c r="W28" t="str">
        <v>Software</v>
      </c>
      <c r="X28">
        <v>38.14</v>
      </c>
      <c r="Y28">
        <v>1.23</v>
      </c>
      <c r="Z28">
        <v>0.4</v>
      </c>
    </row>
    <row r="29" spans="1:26" x14ac:dyDescent="0.3">
      <c r="A29">
        <v>28</v>
      </c>
      <c r="B29">
        <v>1</v>
      </c>
      <c r="C29" s="4">
        <v>43833</v>
      </c>
      <c r="D29" s="4" t="s">
        <v>13</v>
      </c>
      <c r="E29" t="s">
        <v>11</v>
      </c>
      <c r="F29" s="5">
        <v>22.32</v>
      </c>
      <c r="G29">
        <v>1.23</v>
      </c>
      <c r="H29" s="6">
        <v>0.55000000000000004</v>
      </c>
      <c r="J29">
        <v>62</v>
      </c>
      <c r="K29">
        <v>3</v>
      </c>
      <c r="L29" s="4">
        <v>44868</v>
      </c>
      <c r="M29" t="str">
        <v>001-SFT-001</v>
      </c>
      <c r="N29" t="str">
        <v>Software</v>
      </c>
      <c r="O29">
        <v>72.319999999999993</v>
      </c>
      <c r="P29">
        <v>0.57999999999999996</v>
      </c>
      <c r="Q29">
        <v>0.4</v>
      </c>
      <c r="S29">
        <v>1</v>
      </c>
      <c r="T29">
        <v>2</v>
      </c>
      <c r="U29">
        <v>42012</v>
      </c>
      <c r="V29" t="str">
        <v>001-SFT-001</v>
      </c>
      <c r="W29" t="str">
        <v>Software</v>
      </c>
      <c r="X29">
        <v>35</v>
      </c>
      <c r="Y29">
        <v>1.35</v>
      </c>
      <c r="Z29">
        <v>7.0000000000000007E-2</v>
      </c>
    </row>
    <row r="30" spans="1:26" x14ac:dyDescent="0.3">
      <c r="A30">
        <v>29</v>
      </c>
      <c r="B30">
        <v>2</v>
      </c>
      <c r="C30" s="4">
        <v>43864</v>
      </c>
      <c r="D30" s="4" t="s">
        <v>8</v>
      </c>
      <c r="E30" t="s">
        <v>9</v>
      </c>
      <c r="F30" s="5">
        <v>38.14</v>
      </c>
      <c r="G30">
        <v>3.23</v>
      </c>
      <c r="H30" s="6">
        <v>0.51</v>
      </c>
      <c r="J30">
        <v>65</v>
      </c>
      <c r="K30">
        <v>2</v>
      </c>
      <c r="L30" s="4">
        <v>44960</v>
      </c>
      <c r="M30" t="str">
        <v>001-SFT-001</v>
      </c>
      <c r="N30" t="str">
        <v>Software</v>
      </c>
      <c r="O30">
        <v>38.14</v>
      </c>
      <c r="P30">
        <v>4.2300000000000004</v>
      </c>
      <c r="Q30">
        <v>0.56999999999999995</v>
      </c>
      <c r="S30">
        <v>99</v>
      </c>
      <c r="T30">
        <v>5</v>
      </c>
      <c r="U30">
        <v>45415</v>
      </c>
      <c r="V30" t="str">
        <v>001-SFT-001</v>
      </c>
      <c r="W30" t="str">
        <v>Software</v>
      </c>
      <c r="X30">
        <v>30.12</v>
      </c>
      <c r="Y30">
        <v>2.33</v>
      </c>
      <c r="Z30">
        <v>0.71</v>
      </c>
    </row>
    <row r="31" spans="1:26" x14ac:dyDescent="0.3">
      <c r="A31">
        <v>30</v>
      </c>
      <c r="B31">
        <v>6</v>
      </c>
      <c r="C31" s="4">
        <v>43893</v>
      </c>
      <c r="D31" s="4" t="s">
        <v>10</v>
      </c>
      <c r="E31" t="s">
        <v>11</v>
      </c>
      <c r="F31" s="5">
        <v>38.14</v>
      </c>
      <c r="G31">
        <v>2.42</v>
      </c>
      <c r="H31" s="6">
        <v>0.2</v>
      </c>
      <c r="J31">
        <v>68</v>
      </c>
      <c r="K31">
        <v>2</v>
      </c>
      <c r="L31" s="4">
        <v>45049</v>
      </c>
      <c r="M31" t="str">
        <v>001-SFT-001</v>
      </c>
      <c r="N31" t="str">
        <v>Software</v>
      </c>
      <c r="O31">
        <v>92.32</v>
      </c>
      <c r="P31">
        <v>1.23</v>
      </c>
      <c r="Q31">
        <v>0.46</v>
      </c>
      <c r="S31">
        <v>8</v>
      </c>
      <c r="T31">
        <v>5</v>
      </c>
      <c r="U31">
        <v>42654</v>
      </c>
      <c r="V31" t="str">
        <v>001-SFT-001</v>
      </c>
      <c r="W31" t="str">
        <v>Software</v>
      </c>
      <c r="X31">
        <v>22.32</v>
      </c>
      <c r="Y31">
        <v>4.2300000000000004</v>
      </c>
      <c r="Z31">
        <v>0.26</v>
      </c>
    </row>
    <row r="32" spans="1:26" x14ac:dyDescent="0.3">
      <c r="A32">
        <v>31</v>
      </c>
      <c r="B32">
        <v>2</v>
      </c>
      <c r="C32" s="4">
        <v>43924</v>
      </c>
      <c r="D32" s="4" t="s">
        <v>8</v>
      </c>
      <c r="E32" t="s">
        <v>9</v>
      </c>
      <c r="F32" s="5">
        <v>38.14</v>
      </c>
      <c r="G32">
        <v>2.33</v>
      </c>
      <c r="H32" s="6">
        <v>0.14000000000000001</v>
      </c>
      <c r="J32">
        <v>71</v>
      </c>
      <c r="K32">
        <v>2</v>
      </c>
      <c r="L32" s="4">
        <v>45141</v>
      </c>
      <c r="M32" t="str">
        <v>001-SFT-001</v>
      </c>
      <c r="N32" t="str">
        <v>Software</v>
      </c>
      <c r="O32">
        <v>100</v>
      </c>
      <c r="P32">
        <v>2.3199999999999998</v>
      </c>
      <c r="Q32">
        <v>0.32</v>
      </c>
      <c r="S32">
        <v>25</v>
      </c>
      <c r="T32">
        <v>3</v>
      </c>
      <c r="U32">
        <v>43741</v>
      </c>
      <c r="V32" t="str">
        <v>001-SFT-001</v>
      </c>
      <c r="W32" t="str">
        <v>Software</v>
      </c>
      <c r="X32">
        <v>22.32</v>
      </c>
      <c r="Y32">
        <v>4.2300000000000004</v>
      </c>
      <c r="Z32">
        <v>0.85</v>
      </c>
    </row>
    <row r="33" spans="1:26" x14ac:dyDescent="0.3">
      <c r="A33">
        <v>32</v>
      </c>
      <c r="B33">
        <v>3</v>
      </c>
      <c r="C33" s="4">
        <v>43954</v>
      </c>
      <c r="D33" s="4" t="s">
        <v>12</v>
      </c>
      <c r="E33" t="s">
        <v>11</v>
      </c>
      <c r="F33" s="5">
        <v>92.32</v>
      </c>
      <c r="G33">
        <v>3.64</v>
      </c>
      <c r="H33" s="6">
        <v>0.62</v>
      </c>
      <c r="J33">
        <v>74</v>
      </c>
      <c r="K33">
        <v>5</v>
      </c>
      <c r="L33" s="4">
        <v>45233</v>
      </c>
      <c r="M33" t="str">
        <v>001-SFT-001</v>
      </c>
      <c r="N33" t="str">
        <v>Software</v>
      </c>
      <c r="O33">
        <v>39.14</v>
      </c>
      <c r="P33">
        <v>4.2300000000000004</v>
      </c>
      <c r="Q33">
        <v>0.44</v>
      </c>
      <c r="S33">
        <v>42</v>
      </c>
      <c r="T33">
        <v>1</v>
      </c>
      <c r="U33">
        <v>44258</v>
      </c>
      <c r="V33" t="str">
        <v>001-SFT-001</v>
      </c>
      <c r="W33" t="str">
        <v>Software</v>
      </c>
      <c r="X33">
        <v>22.32</v>
      </c>
      <c r="Y33">
        <v>4.2300000000000004</v>
      </c>
      <c r="Z33">
        <v>0.64</v>
      </c>
    </row>
    <row r="34" spans="1:26" x14ac:dyDescent="0.3">
      <c r="A34">
        <v>33</v>
      </c>
      <c r="B34">
        <v>3</v>
      </c>
      <c r="C34" s="4">
        <v>43985</v>
      </c>
      <c r="D34" s="4" t="s">
        <v>8</v>
      </c>
      <c r="E34" t="s">
        <v>9</v>
      </c>
      <c r="F34" s="5">
        <v>92.32</v>
      </c>
      <c r="G34">
        <v>4.12</v>
      </c>
      <c r="H34" s="6">
        <v>0.57999999999999996</v>
      </c>
      <c r="J34">
        <v>75</v>
      </c>
      <c r="K34">
        <v>6</v>
      </c>
      <c r="L34" s="4">
        <v>45234</v>
      </c>
      <c r="M34" t="str">
        <v>001-SFT-001</v>
      </c>
      <c r="N34" t="str">
        <v>Software</v>
      </c>
      <c r="O34">
        <v>2.12</v>
      </c>
      <c r="P34">
        <v>0</v>
      </c>
      <c r="Q34">
        <v>0.1</v>
      </c>
      <c r="S34">
        <v>59</v>
      </c>
      <c r="T34">
        <v>1</v>
      </c>
      <c r="U34">
        <v>44776</v>
      </c>
      <c r="V34" t="str">
        <v>001-SFT-001</v>
      </c>
      <c r="W34" t="str">
        <v>Software</v>
      </c>
      <c r="X34">
        <v>22.32</v>
      </c>
      <c r="Y34">
        <v>3.64</v>
      </c>
      <c r="Z34">
        <v>0.51</v>
      </c>
    </row>
    <row r="35" spans="1:26" x14ac:dyDescent="0.3">
      <c r="A35">
        <v>34</v>
      </c>
      <c r="B35">
        <v>6</v>
      </c>
      <c r="C35" s="4">
        <v>44015</v>
      </c>
      <c r="D35" s="4" t="s">
        <v>10</v>
      </c>
      <c r="E35" t="s">
        <v>11</v>
      </c>
      <c r="F35" s="5">
        <v>50</v>
      </c>
      <c r="G35">
        <v>1.23</v>
      </c>
      <c r="H35" s="6">
        <v>0.63</v>
      </c>
      <c r="J35">
        <v>76</v>
      </c>
      <c r="K35">
        <v>3</v>
      </c>
      <c r="L35" s="4">
        <v>45235</v>
      </c>
      <c r="M35" t="str">
        <v>001-SFT-001</v>
      </c>
      <c r="N35" t="str">
        <v>Software</v>
      </c>
      <c r="O35">
        <v>2.19</v>
      </c>
      <c r="P35">
        <v>0</v>
      </c>
      <c r="Q35">
        <v>0.35</v>
      </c>
      <c r="S35">
        <v>96</v>
      </c>
      <c r="T35">
        <v>4</v>
      </c>
      <c r="U35">
        <v>45331</v>
      </c>
      <c r="V35" t="str">
        <v>001-SFT-001</v>
      </c>
      <c r="W35" t="str">
        <v>Software</v>
      </c>
      <c r="X35">
        <v>21.32</v>
      </c>
      <c r="Y35">
        <v>1.23</v>
      </c>
      <c r="Z35">
        <v>0.5</v>
      </c>
    </row>
    <row r="36" spans="1:26" x14ac:dyDescent="0.3">
      <c r="A36">
        <v>35</v>
      </c>
      <c r="B36">
        <v>6</v>
      </c>
      <c r="C36" s="4">
        <v>44046</v>
      </c>
      <c r="D36" s="4" t="s">
        <v>13</v>
      </c>
      <c r="E36" t="s">
        <v>11</v>
      </c>
      <c r="F36" s="5">
        <v>100</v>
      </c>
      <c r="G36">
        <v>5.23</v>
      </c>
      <c r="H36" s="6">
        <v>0.39</v>
      </c>
      <c r="J36">
        <v>77</v>
      </c>
      <c r="K36">
        <v>5</v>
      </c>
      <c r="L36" s="4">
        <v>45236</v>
      </c>
      <c r="M36" t="str">
        <v>001-SFT-001</v>
      </c>
      <c r="N36" t="str">
        <v>Software</v>
      </c>
      <c r="O36">
        <v>2.12</v>
      </c>
      <c r="P36">
        <v>0</v>
      </c>
      <c r="Q36">
        <v>0.43</v>
      </c>
      <c r="S36">
        <v>53</v>
      </c>
      <c r="T36">
        <v>5</v>
      </c>
      <c r="U36">
        <v>44595</v>
      </c>
      <c r="V36" t="str">
        <v>001-SFT-001</v>
      </c>
      <c r="W36" t="str">
        <v>Software</v>
      </c>
      <c r="X36">
        <v>14.73</v>
      </c>
      <c r="Y36">
        <v>5.34</v>
      </c>
      <c r="Z36">
        <v>0.2</v>
      </c>
    </row>
    <row r="37" spans="1:26" x14ac:dyDescent="0.3">
      <c r="A37">
        <v>36</v>
      </c>
      <c r="B37">
        <v>5</v>
      </c>
      <c r="C37" s="4">
        <v>44077</v>
      </c>
      <c r="D37" s="4" t="s">
        <v>10</v>
      </c>
      <c r="E37" t="s">
        <v>11</v>
      </c>
      <c r="F37" s="5">
        <v>32.56</v>
      </c>
      <c r="G37">
        <v>3.21</v>
      </c>
      <c r="H37" s="6">
        <v>0.38</v>
      </c>
      <c r="J37">
        <v>78</v>
      </c>
      <c r="K37">
        <v>4</v>
      </c>
      <c r="L37" s="4">
        <v>45237</v>
      </c>
      <c r="M37" t="str">
        <v>001-SFT-001</v>
      </c>
      <c r="N37" t="str">
        <v>Software</v>
      </c>
      <c r="O37">
        <v>3.1</v>
      </c>
      <c r="P37">
        <v>0</v>
      </c>
      <c r="Q37">
        <v>0.52</v>
      </c>
      <c r="S37">
        <v>80</v>
      </c>
      <c r="T37">
        <v>4</v>
      </c>
      <c r="U37">
        <v>45239</v>
      </c>
      <c r="V37" t="str">
        <v>001-SFT-001</v>
      </c>
      <c r="W37" t="str">
        <v>Software</v>
      </c>
      <c r="X37">
        <v>4.2</v>
      </c>
      <c r="Y37">
        <v>0</v>
      </c>
      <c r="Z37">
        <v>0.87</v>
      </c>
    </row>
    <row r="38" spans="1:26" x14ac:dyDescent="0.3">
      <c r="A38">
        <v>37</v>
      </c>
      <c r="B38">
        <v>2</v>
      </c>
      <c r="C38" s="4">
        <v>44107</v>
      </c>
      <c r="D38" s="4" t="s">
        <v>8</v>
      </c>
      <c r="E38" t="s">
        <v>9</v>
      </c>
      <c r="F38" s="5">
        <v>38.14</v>
      </c>
      <c r="G38">
        <v>2.41</v>
      </c>
      <c r="H38" s="6">
        <v>0.1</v>
      </c>
      <c r="J38">
        <v>79</v>
      </c>
      <c r="K38">
        <v>4</v>
      </c>
      <c r="L38" s="4">
        <v>45238</v>
      </c>
      <c r="M38" t="str">
        <v>001-SFT-001</v>
      </c>
      <c r="N38" t="str">
        <v>Software</v>
      </c>
      <c r="O38">
        <v>2.12</v>
      </c>
      <c r="P38">
        <v>0</v>
      </c>
      <c r="Q38">
        <v>0.28000000000000003</v>
      </c>
      <c r="S38">
        <v>84</v>
      </c>
      <c r="T38">
        <v>3</v>
      </c>
      <c r="U38">
        <v>45243</v>
      </c>
      <c r="V38" t="str">
        <v>001-SFT-001</v>
      </c>
      <c r="W38" t="str">
        <v>Software</v>
      </c>
      <c r="X38">
        <v>4.2</v>
      </c>
      <c r="Y38">
        <v>0</v>
      </c>
      <c r="Z38">
        <v>0.8</v>
      </c>
    </row>
    <row r="39" spans="1:26" x14ac:dyDescent="0.3">
      <c r="A39">
        <v>38</v>
      </c>
      <c r="B39">
        <v>3</v>
      </c>
      <c r="C39" s="4">
        <v>44138</v>
      </c>
      <c r="D39" s="4" t="s">
        <v>8</v>
      </c>
      <c r="E39" t="s">
        <v>9</v>
      </c>
      <c r="F39" s="5">
        <v>39.14</v>
      </c>
      <c r="G39">
        <v>2.15</v>
      </c>
      <c r="H39" s="6">
        <v>0.95</v>
      </c>
      <c r="J39">
        <v>80</v>
      </c>
      <c r="K39">
        <v>4</v>
      </c>
      <c r="L39" s="4">
        <v>45239</v>
      </c>
      <c r="M39" t="str">
        <v>001-SFT-001</v>
      </c>
      <c r="N39" t="str">
        <v>Software</v>
      </c>
      <c r="O39">
        <v>4.2</v>
      </c>
      <c r="P39">
        <v>0</v>
      </c>
      <c r="Q39">
        <v>0.87</v>
      </c>
      <c r="S39">
        <v>89</v>
      </c>
      <c r="T39">
        <v>5</v>
      </c>
      <c r="U39">
        <v>45248</v>
      </c>
      <c r="V39" t="str">
        <v>001-SFT-001</v>
      </c>
      <c r="W39" t="str">
        <v>Software</v>
      </c>
      <c r="X39">
        <v>4.2</v>
      </c>
      <c r="Y39">
        <v>0</v>
      </c>
      <c r="Z39">
        <v>0.2</v>
      </c>
    </row>
    <row r="40" spans="1:26" x14ac:dyDescent="0.3">
      <c r="A40">
        <v>39</v>
      </c>
      <c r="B40">
        <v>6</v>
      </c>
      <c r="C40" s="4">
        <v>44168</v>
      </c>
      <c r="D40" s="4" t="s">
        <v>14</v>
      </c>
      <c r="E40" t="s">
        <v>11</v>
      </c>
      <c r="F40" s="5">
        <v>55.14</v>
      </c>
      <c r="G40">
        <v>2.3199999999999998</v>
      </c>
      <c r="H40" s="6">
        <v>0.56999999999999995</v>
      </c>
      <c r="J40">
        <v>81</v>
      </c>
      <c r="K40">
        <v>2</v>
      </c>
      <c r="L40" s="4">
        <v>45240</v>
      </c>
      <c r="M40" t="str">
        <v>001-SFT-001</v>
      </c>
      <c r="N40" t="str">
        <v>Software</v>
      </c>
      <c r="O40">
        <v>2.12</v>
      </c>
      <c r="P40">
        <v>0</v>
      </c>
      <c r="Q40">
        <v>0.55000000000000004</v>
      </c>
      <c r="S40">
        <v>92</v>
      </c>
      <c r="T40">
        <v>1</v>
      </c>
      <c r="U40">
        <v>45251</v>
      </c>
      <c r="V40" t="str">
        <v>001-SFT-001</v>
      </c>
      <c r="W40" t="str">
        <v>Software</v>
      </c>
      <c r="X40">
        <v>4.2</v>
      </c>
      <c r="Y40">
        <v>0</v>
      </c>
      <c r="Z40">
        <v>0.69</v>
      </c>
    </row>
    <row r="41" spans="1:26" x14ac:dyDescent="0.3">
      <c r="A41">
        <v>40</v>
      </c>
      <c r="B41">
        <v>5</v>
      </c>
      <c r="C41" s="4">
        <v>44199</v>
      </c>
      <c r="D41" s="4" t="s">
        <v>12</v>
      </c>
      <c r="E41" t="s">
        <v>11</v>
      </c>
      <c r="F41" s="5">
        <v>22.32</v>
      </c>
      <c r="G41">
        <v>2.0499999999999998</v>
      </c>
      <c r="H41" s="6">
        <v>0.93</v>
      </c>
      <c r="J41">
        <v>82</v>
      </c>
      <c r="K41">
        <v>2</v>
      </c>
      <c r="L41" s="4">
        <v>45241</v>
      </c>
      <c r="M41" t="str">
        <v>001-SFT-001</v>
      </c>
      <c r="N41" t="str">
        <v>Software</v>
      </c>
      <c r="O41">
        <v>3.1</v>
      </c>
      <c r="P41">
        <v>0</v>
      </c>
      <c r="Q41">
        <v>0.4</v>
      </c>
      <c r="S41">
        <v>78</v>
      </c>
      <c r="T41">
        <v>4</v>
      </c>
      <c r="U41">
        <v>45237</v>
      </c>
      <c r="V41" t="str">
        <v>001-SFT-001</v>
      </c>
      <c r="W41" t="str">
        <v>Software</v>
      </c>
      <c r="X41">
        <v>3.1</v>
      </c>
      <c r="Y41">
        <v>0</v>
      </c>
      <c r="Z41">
        <v>0.52</v>
      </c>
    </row>
    <row r="42" spans="1:26" x14ac:dyDescent="0.3">
      <c r="A42">
        <v>41</v>
      </c>
      <c r="B42">
        <v>5</v>
      </c>
      <c r="C42" s="4">
        <v>44230</v>
      </c>
      <c r="D42" s="4" t="s">
        <v>12</v>
      </c>
      <c r="E42" t="s">
        <v>11</v>
      </c>
      <c r="F42" s="5">
        <v>21.32</v>
      </c>
      <c r="G42">
        <v>3.21</v>
      </c>
      <c r="H42" s="6">
        <v>0.79</v>
      </c>
      <c r="J42">
        <v>83</v>
      </c>
      <c r="K42">
        <v>1</v>
      </c>
      <c r="L42" s="4">
        <v>45242</v>
      </c>
      <c r="M42" t="str">
        <v>001-SFT-001</v>
      </c>
      <c r="N42" t="str">
        <v>Software</v>
      </c>
      <c r="O42">
        <v>2.12</v>
      </c>
      <c r="P42">
        <v>0</v>
      </c>
      <c r="Q42">
        <v>0.96</v>
      </c>
      <c r="S42">
        <v>82</v>
      </c>
      <c r="T42">
        <v>2</v>
      </c>
      <c r="U42">
        <v>45241</v>
      </c>
      <c r="V42" t="str">
        <v>001-SFT-001</v>
      </c>
      <c r="W42" t="str">
        <v>Software</v>
      </c>
      <c r="X42">
        <v>3.1</v>
      </c>
      <c r="Y42">
        <v>0</v>
      </c>
      <c r="Z42">
        <v>0.4</v>
      </c>
    </row>
    <row r="43" spans="1:26" x14ac:dyDescent="0.3">
      <c r="A43">
        <v>42</v>
      </c>
      <c r="B43">
        <v>1</v>
      </c>
      <c r="C43" s="4">
        <v>44258</v>
      </c>
      <c r="D43" s="4" t="s">
        <v>8</v>
      </c>
      <c r="E43" t="s">
        <v>9</v>
      </c>
      <c r="F43" s="5">
        <v>22.32</v>
      </c>
      <c r="G43">
        <v>4.2300000000000004</v>
      </c>
      <c r="H43" s="6">
        <v>0.64</v>
      </c>
      <c r="J43">
        <v>84</v>
      </c>
      <c r="K43">
        <v>3</v>
      </c>
      <c r="L43" s="4">
        <v>45243</v>
      </c>
      <c r="M43" t="str">
        <v>001-SFT-001</v>
      </c>
      <c r="N43" t="str">
        <v>Software</v>
      </c>
      <c r="O43">
        <v>4.2</v>
      </c>
      <c r="P43">
        <v>0</v>
      </c>
      <c r="Q43">
        <v>0.8</v>
      </c>
      <c r="S43">
        <v>86</v>
      </c>
      <c r="T43">
        <v>6</v>
      </c>
      <c r="U43">
        <v>45245</v>
      </c>
      <c r="V43" t="str">
        <v>001-SFT-001</v>
      </c>
      <c r="W43" t="str">
        <v>Software</v>
      </c>
      <c r="X43">
        <v>3.1</v>
      </c>
      <c r="Y43">
        <v>0</v>
      </c>
      <c r="Z43">
        <v>0.45</v>
      </c>
    </row>
    <row r="44" spans="1:26" x14ac:dyDescent="0.3">
      <c r="A44">
        <v>43</v>
      </c>
      <c r="B44">
        <v>5</v>
      </c>
      <c r="C44" s="4">
        <v>44289</v>
      </c>
      <c r="D44" s="4" t="s">
        <v>8</v>
      </c>
      <c r="E44" t="s">
        <v>9</v>
      </c>
      <c r="F44" s="5">
        <v>72.319999999999993</v>
      </c>
      <c r="G44">
        <v>5.34</v>
      </c>
      <c r="H44" s="6">
        <v>0.19</v>
      </c>
      <c r="J44">
        <v>85</v>
      </c>
      <c r="K44">
        <v>5</v>
      </c>
      <c r="L44" s="4">
        <v>45244</v>
      </c>
      <c r="M44" t="str">
        <v>001-SFT-001</v>
      </c>
      <c r="N44" t="str">
        <v>Software</v>
      </c>
      <c r="O44">
        <v>2.12</v>
      </c>
      <c r="P44">
        <v>0</v>
      </c>
      <c r="Q44">
        <v>0.34</v>
      </c>
      <c r="S44">
        <v>76</v>
      </c>
      <c r="T44">
        <v>3</v>
      </c>
      <c r="U44">
        <v>45235</v>
      </c>
      <c r="V44" t="str">
        <v>001-SFT-001</v>
      </c>
      <c r="W44" t="str">
        <v>Software</v>
      </c>
      <c r="X44">
        <v>2.19</v>
      </c>
      <c r="Y44">
        <v>0</v>
      </c>
      <c r="Z44">
        <v>0.35</v>
      </c>
    </row>
    <row r="45" spans="1:26" x14ac:dyDescent="0.3">
      <c r="A45">
        <v>44</v>
      </c>
      <c r="B45">
        <v>1</v>
      </c>
      <c r="C45" s="4">
        <v>44319</v>
      </c>
      <c r="D45" s="4" t="s">
        <v>10</v>
      </c>
      <c r="E45" t="s">
        <v>11</v>
      </c>
      <c r="F45" s="5">
        <v>30.12</v>
      </c>
      <c r="G45">
        <v>2.7</v>
      </c>
      <c r="H45" s="6">
        <v>0.12</v>
      </c>
      <c r="J45">
        <v>86</v>
      </c>
      <c r="K45">
        <v>6</v>
      </c>
      <c r="L45" s="4">
        <v>45245</v>
      </c>
      <c r="M45" t="str">
        <v>001-SFT-001</v>
      </c>
      <c r="N45" t="str">
        <v>Software</v>
      </c>
      <c r="O45">
        <v>3.1</v>
      </c>
      <c r="P45">
        <v>0</v>
      </c>
      <c r="Q45">
        <v>0.45</v>
      </c>
      <c r="S45">
        <v>75</v>
      </c>
      <c r="T45">
        <v>6</v>
      </c>
      <c r="U45">
        <v>45234</v>
      </c>
      <c r="V45" t="str">
        <v>001-SFT-001</v>
      </c>
      <c r="W45" t="str">
        <v>Software</v>
      </c>
      <c r="X45">
        <v>2.12</v>
      </c>
      <c r="Y45">
        <v>0</v>
      </c>
      <c r="Z45">
        <v>0.1</v>
      </c>
    </row>
    <row r="46" spans="1:26" x14ac:dyDescent="0.3">
      <c r="A46">
        <v>45</v>
      </c>
      <c r="B46">
        <v>6</v>
      </c>
      <c r="C46" s="4">
        <v>44350</v>
      </c>
      <c r="D46" s="4" t="s">
        <v>13</v>
      </c>
      <c r="E46" t="s">
        <v>11</v>
      </c>
      <c r="F46" s="5">
        <v>22.32</v>
      </c>
      <c r="G46">
        <v>1.23</v>
      </c>
      <c r="H46" s="6">
        <v>0.65</v>
      </c>
      <c r="J46">
        <v>87</v>
      </c>
      <c r="K46">
        <v>4</v>
      </c>
      <c r="L46" s="4">
        <v>45246</v>
      </c>
      <c r="M46" t="str">
        <v>001-SFT-001</v>
      </c>
      <c r="N46" t="str">
        <v>Software</v>
      </c>
      <c r="O46">
        <v>2.12</v>
      </c>
      <c r="P46">
        <v>0</v>
      </c>
      <c r="Q46">
        <v>0.4</v>
      </c>
      <c r="S46">
        <v>77</v>
      </c>
      <c r="T46">
        <v>5</v>
      </c>
      <c r="U46">
        <v>45236</v>
      </c>
      <c r="V46" t="str">
        <v>001-SFT-001</v>
      </c>
      <c r="W46" t="str">
        <v>Software</v>
      </c>
      <c r="X46">
        <v>2.12</v>
      </c>
      <c r="Y46">
        <v>0</v>
      </c>
      <c r="Z46">
        <v>0.43</v>
      </c>
    </row>
    <row r="47" spans="1:26" x14ac:dyDescent="0.3">
      <c r="A47">
        <v>46</v>
      </c>
      <c r="B47">
        <v>1</v>
      </c>
      <c r="C47" s="4">
        <v>44380</v>
      </c>
      <c r="D47" s="4" t="s">
        <v>8</v>
      </c>
      <c r="E47" t="s">
        <v>9</v>
      </c>
      <c r="F47" s="5">
        <v>38.14</v>
      </c>
      <c r="G47">
        <v>3.23</v>
      </c>
      <c r="H47" s="6">
        <v>0.87</v>
      </c>
      <c r="J47">
        <v>88</v>
      </c>
      <c r="K47">
        <v>5</v>
      </c>
      <c r="L47" s="4">
        <v>45247</v>
      </c>
      <c r="M47" t="str">
        <v>001-SFT-001</v>
      </c>
      <c r="N47" t="str">
        <v>Software</v>
      </c>
      <c r="O47">
        <v>2.12</v>
      </c>
      <c r="P47">
        <v>0</v>
      </c>
      <c r="Q47">
        <v>0.79</v>
      </c>
      <c r="S47">
        <v>79</v>
      </c>
      <c r="T47">
        <v>4</v>
      </c>
      <c r="U47">
        <v>45238</v>
      </c>
      <c r="V47" t="str">
        <v>001-SFT-001</v>
      </c>
      <c r="W47" t="str">
        <v>Software</v>
      </c>
      <c r="X47">
        <v>2.12</v>
      </c>
      <c r="Y47">
        <v>0</v>
      </c>
      <c r="Z47">
        <v>0.28000000000000003</v>
      </c>
    </row>
    <row r="48" spans="1:26" x14ac:dyDescent="0.3">
      <c r="A48">
        <v>46</v>
      </c>
      <c r="B48">
        <v>2</v>
      </c>
      <c r="C48" s="4">
        <v>44411</v>
      </c>
      <c r="D48" s="4" t="s">
        <v>10</v>
      </c>
      <c r="E48" t="s">
        <v>11</v>
      </c>
      <c r="F48" s="5">
        <v>38.14</v>
      </c>
      <c r="G48">
        <v>2.42</v>
      </c>
      <c r="H48" s="6">
        <v>0.65</v>
      </c>
      <c r="J48">
        <v>89</v>
      </c>
      <c r="K48">
        <v>5</v>
      </c>
      <c r="L48" s="4">
        <v>45248</v>
      </c>
      <c r="M48" t="str">
        <v>001-SFT-001</v>
      </c>
      <c r="N48" t="str">
        <v>Software</v>
      </c>
      <c r="O48">
        <v>4.2</v>
      </c>
      <c r="P48">
        <v>0</v>
      </c>
      <c r="Q48">
        <v>0.2</v>
      </c>
      <c r="S48">
        <v>81</v>
      </c>
      <c r="T48">
        <v>2</v>
      </c>
      <c r="U48">
        <v>45240</v>
      </c>
      <c r="V48" t="str">
        <v>001-SFT-001</v>
      </c>
      <c r="W48" t="str">
        <v>Software</v>
      </c>
      <c r="X48">
        <v>2.12</v>
      </c>
      <c r="Y48">
        <v>0</v>
      </c>
      <c r="Z48">
        <v>0.55000000000000004</v>
      </c>
    </row>
    <row r="49" spans="1:26" x14ac:dyDescent="0.3">
      <c r="A49">
        <v>48</v>
      </c>
      <c r="B49">
        <v>6</v>
      </c>
      <c r="C49" s="4">
        <v>44442</v>
      </c>
      <c r="D49" s="4" t="s">
        <v>8</v>
      </c>
      <c r="E49" t="s">
        <v>9</v>
      </c>
      <c r="F49" s="5">
        <v>38.14</v>
      </c>
      <c r="G49">
        <v>2.33</v>
      </c>
      <c r="H49" s="6">
        <v>0.51</v>
      </c>
      <c r="J49">
        <v>90</v>
      </c>
      <c r="K49">
        <v>4</v>
      </c>
      <c r="L49" s="4">
        <v>45249</v>
      </c>
      <c r="M49" t="str">
        <v>001-SFT-001</v>
      </c>
      <c r="N49" t="str">
        <v>Software</v>
      </c>
      <c r="O49">
        <v>2.12</v>
      </c>
      <c r="P49">
        <v>0</v>
      </c>
      <c r="Q49">
        <v>0.13</v>
      </c>
      <c r="S49">
        <v>83</v>
      </c>
      <c r="T49">
        <v>1</v>
      </c>
      <c r="U49">
        <v>45242</v>
      </c>
      <c r="V49" t="str">
        <v>001-SFT-001</v>
      </c>
      <c r="W49" t="str">
        <v>Software</v>
      </c>
      <c r="X49">
        <v>2.12</v>
      </c>
      <c r="Y49">
        <v>0</v>
      </c>
      <c r="Z49">
        <v>0.96</v>
      </c>
    </row>
    <row r="50" spans="1:26" x14ac:dyDescent="0.3">
      <c r="A50">
        <v>49</v>
      </c>
      <c r="B50">
        <v>2</v>
      </c>
      <c r="C50" s="4">
        <v>44472</v>
      </c>
      <c r="D50" s="4" t="s">
        <v>12</v>
      </c>
      <c r="E50" t="s">
        <v>11</v>
      </c>
      <c r="F50" s="5">
        <v>92.32</v>
      </c>
      <c r="G50">
        <v>3.64</v>
      </c>
      <c r="H50" s="6">
        <v>0.86</v>
      </c>
      <c r="J50">
        <v>91</v>
      </c>
      <c r="K50">
        <v>6</v>
      </c>
      <c r="L50" s="4">
        <v>45250</v>
      </c>
      <c r="M50" t="str">
        <v>001-SFT-001</v>
      </c>
      <c r="N50" t="str">
        <v>Software</v>
      </c>
      <c r="O50">
        <v>2.12</v>
      </c>
      <c r="P50">
        <v>0</v>
      </c>
      <c r="Q50">
        <v>0.7</v>
      </c>
      <c r="S50">
        <v>85</v>
      </c>
      <c r="T50">
        <v>5</v>
      </c>
      <c r="U50">
        <v>45244</v>
      </c>
      <c r="V50" t="str">
        <v>001-SFT-001</v>
      </c>
      <c r="W50" t="str">
        <v>Software</v>
      </c>
      <c r="X50">
        <v>2.12</v>
      </c>
      <c r="Y50">
        <v>0</v>
      </c>
      <c r="Z50">
        <v>0.34</v>
      </c>
    </row>
    <row r="51" spans="1:26" x14ac:dyDescent="0.3">
      <c r="A51">
        <v>50</v>
      </c>
      <c r="B51">
        <v>5</v>
      </c>
      <c r="C51" s="4">
        <v>44503</v>
      </c>
      <c r="D51" s="4" t="s">
        <v>8</v>
      </c>
      <c r="E51" t="s">
        <v>9</v>
      </c>
      <c r="F51" s="5">
        <v>92.32</v>
      </c>
      <c r="G51">
        <v>4.12</v>
      </c>
      <c r="H51" s="6">
        <v>0.59</v>
      </c>
      <c r="J51">
        <v>92</v>
      </c>
      <c r="K51">
        <v>1</v>
      </c>
      <c r="L51" s="4">
        <v>45251</v>
      </c>
      <c r="M51" t="str">
        <v>001-SFT-001</v>
      </c>
      <c r="N51" t="str">
        <v>Software</v>
      </c>
      <c r="O51">
        <v>4.2</v>
      </c>
      <c r="P51">
        <v>0</v>
      </c>
      <c r="Q51">
        <v>0.69</v>
      </c>
      <c r="S51">
        <v>87</v>
      </c>
      <c r="T51">
        <v>4</v>
      </c>
      <c r="U51">
        <v>45246</v>
      </c>
      <c r="V51" t="str">
        <v>001-SFT-001</v>
      </c>
      <c r="W51" t="str">
        <v>Software</v>
      </c>
      <c r="X51">
        <v>2.12</v>
      </c>
      <c r="Y51">
        <v>0</v>
      </c>
      <c r="Z51">
        <v>0.4</v>
      </c>
    </row>
    <row r="52" spans="1:26" x14ac:dyDescent="0.3">
      <c r="A52">
        <v>51</v>
      </c>
      <c r="B52">
        <v>4</v>
      </c>
      <c r="C52" s="4">
        <v>44533</v>
      </c>
      <c r="D52" s="4" t="s">
        <v>12</v>
      </c>
      <c r="E52" t="s">
        <v>11</v>
      </c>
      <c r="F52" s="5">
        <v>50</v>
      </c>
      <c r="G52">
        <v>1.23</v>
      </c>
      <c r="H52" s="6">
        <v>0.75</v>
      </c>
      <c r="J52">
        <v>93</v>
      </c>
      <c r="K52">
        <v>1</v>
      </c>
      <c r="L52" s="4">
        <v>45252</v>
      </c>
      <c r="M52" t="str">
        <v>001-SFT-001</v>
      </c>
      <c r="N52" t="str">
        <v>Software</v>
      </c>
      <c r="O52">
        <v>2.12</v>
      </c>
      <c r="P52">
        <v>0</v>
      </c>
      <c r="Q52">
        <v>0.76</v>
      </c>
      <c r="S52">
        <v>88</v>
      </c>
      <c r="T52">
        <v>5</v>
      </c>
      <c r="U52">
        <v>45247</v>
      </c>
      <c r="V52" t="str">
        <v>001-SFT-001</v>
      </c>
      <c r="W52" t="str">
        <v>Software</v>
      </c>
      <c r="X52">
        <v>2.12</v>
      </c>
      <c r="Y52">
        <v>0</v>
      </c>
      <c r="Z52">
        <v>0.79</v>
      </c>
    </row>
    <row r="53" spans="1:26" x14ac:dyDescent="0.3">
      <c r="A53">
        <v>52</v>
      </c>
      <c r="B53">
        <v>6</v>
      </c>
      <c r="C53" s="4">
        <v>44564</v>
      </c>
      <c r="D53" s="4" t="s">
        <v>14</v>
      </c>
      <c r="E53" t="s">
        <v>11</v>
      </c>
      <c r="F53" s="5">
        <v>35.89</v>
      </c>
      <c r="G53">
        <v>0.57999999999999996</v>
      </c>
      <c r="H53" s="6">
        <v>0.93</v>
      </c>
      <c r="J53">
        <v>96</v>
      </c>
      <c r="K53">
        <v>4</v>
      </c>
      <c r="L53" s="4">
        <v>45331</v>
      </c>
      <c r="M53" t="str">
        <v>001-SFT-001</v>
      </c>
      <c r="N53" t="str">
        <v>Software</v>
      </c>
      <c r="O53">
        <v>21.32</v>
      </c>
      <c r="P53">
        <v>1.23</v>
      </c>
      <c r="Q53">
        <v>0.5</v>
      </c>
      <c r="S53">
        <v>90</v>
      </c>
      <c r="T53">
        <v>4</v>
      </c>
      <c r="U53">
        <v>45249</v>
      </c>
      <c r="V53" t="str">
        <v>001-SFT-001</v>
      </c>
      <c r="W53" t="str">
        <v>Software</v>
      </c>
      <c r="X53">
        <v>2.12</v>
      </c>
      <c r="Y53">
        <v>0</v>
      </c>
      <c r="Z53">
        <v>0.13</v>
      </c>
    </row>
    <row r="54" spans="1:26" x14ac:dyDescent="0.3">
      <c r="A54">
        <v>53</v>
      </c>
      <c r="B54">
        <v>5</v>
      </c>
      <c r="C54" s="4">
        <v>44595</v>
      </c>
      <c r="D54" s="4" t="s">
        <v>8</v>
      </c>
      <c r="E54" t="s">
        <v>9</v>
      </c>
      <c r="F54" s="5">
        <v>14.73</v>
      </c>
      <c r="G54">
        <v>5.34</v>
      </c>
      <c r="H54" s="6">
        <v>0.2</v>
      </c>
      <c r="J54">
        <v>99</v>
      </c>
      <c r="K54">
        <v>5</v>
      </c>
      <c r="L54" s="4">
        <v>45415</v>
      </c>
      <c r="M54" t="str">
        <v>001-SFT-001</v>
      </c>
      <c r="N54" t="str">
        <v>Software</v>
      </c>
      <c r="O54">
        <v>30.12</v>
      </c>
      <c r="P54">
        <v>2.33</v>
      </c>
      <c r="Q54">
        <v>0.71</v>
      </c>
      <c r="S54">
        <v>91</v>
      </c>
      <c r="T54">
        <v>6</v>
      </c>
      <c r="U54">
        <v>45250</v>
      </c>
      <c r="V54" t="str">
        <v>001-SFT-001</v>
      </c>
      <c r="W54" t="str">
        <v>Software</v>
      </c>
      <c r="X54">
        <v>2.12</v>
      </c>
      <c r="Y54">
        <v>0</v>
      </c>
      <c r="Z54">
        <v>0.7</v>
      </c>
    </row>
    <row r="55" spans="1:26" x14ac:dyDescent="0.3">
      <c r="A55">
        <v>54</v>
      </c>
      <c r="B55">
        <v>4</v>
      </c>
      <c r="C55" s="4">
        <v>44623</v>
      </c>
      <c r="D55" s="4" t="s">
        <v>12</v>
      </c>
      <c r="E55" t="s">
        <v>11</v>
      </c>
      <c r="F55" s="5">
        <v>10</v>
      </c>
      <c r="G55">
        <v>2.7</v>
      </c>
      <c r="H55" s="6">
        <v>0.8</v>
      </c>
      <c r="J55">
        <v>102</v>
      </c>
      <c r="K55">
        <v>6</v>
      </c>
      <c r="L55" s="4">
        <v>45507</v>
      </c>
      <c r="M55" t="str">
        <v>001-SFT-001</v>
      </c>
      <c r="N55" t="str">
        <v>Software</v>
      </c>
      <c r="O55">
        <v>38.14</v>
      </c>
      <c r="P55">
        <v>1.23</v>
      </c>
      <c r="Q55">
        <v>0.4</v>
      </c>
      <c r="S55">
        <v>93</v>
      </c>
      <c r="T55">
        <v>1</v>
      </c>
      <c r="U55">
        <v>45252</v>
      </c>
      <c r="V55" t="str">
        <v>001-SFT-001</v>
      </c>
      <c r="W55" t="str">
        <v>Software</v>
      </c>
      <c r="X55">
        <v>2.12</v>
      </c>
      <c r="Y55">
        <v>0</v>
      </c>
      <c r="Z55">
        <v>0.76</v>
      </c>
    </row>
    <row r="56" spans="1:26" x14ac:dyDescent="0.3">
      <c r="A56">
        <v>55</v>
      </c>
      <c r="B56">
        <v>6</v>
      </c>
      <c r="C56" s="4">
        <v>44654</v>
      </c>
      <c r="D56" s="4" t="s">
        <v>13</v>
      </c>
      <c r="E56" t="s">
        <v>11</v>
      </c>
      <c r="F56" s="5">
        <v>32.56</v>
      </c>
      <c r="G56">
        <v>1.23</v>
      </c>
      <c r="H56" s="6">
        <v>0.49</v>
      </c>
    </row>
    <row r="57" spans="1:26" x14ac:dyDescent="0.3">
      <c r="A57">
        <v>56</v>
      </c>
      <c r="B57">
        <v>4</v>
      </c>
      <c r="C57" s="4">
        <v>44684</v>
      </c>
      <c r="D57" s="4" t="s">
        <v>8</v>
      </c>
      <c r="E57" t="s">
        <v>9</v>
      </c>
      <c r="F57" s="5">
        <v>38.14</v>
      </c>
      <c r="G57">
        <v>3.23</v>
      </c>
      <c r="H57" s="6">
        <v>0.79</v>
      </c>
    </row>
    <row r="58" spans="1:26" x14ac:dyDescent="0.3">
      <c r="A58">
        <v>57</v>
      </c>
      <c r="B58">
        <v>6</v>
      </c>
      <c r="C58" s="4">
        <v>44715</v>
      </c>
      <c r="D58" s="4" t="s">
        <v>10</v>
      </c>
      <c r="E58" t="s">
        <v>11</v>
      </c>
      <c r="F58" s="5">
        <v>39.14</v>
      </c>
      <c r="G58">
        <v>2.42</v>
      </c>
      <c r="H58" s="6">
        <v>0.9</v>
      </c>
    </row>
    <row r="59" spans="1:26" x14ac:dyDescent="0.3">
      <c r="A59">
        <v>58</v>
      </c>
      <c r="B59">
        <v>5</v>
      </c>
      <c r="C59" s="4">
        <v>44745</v>
      </c>
      <c r="D59" s="4" t="s">
        <v>13</v>
      </c>
      <c r="E59" t="s">
        <v>11</v>
      </c>
      <c r="F59" s="5">
        <v>55.14</v>
      </c>
      <c r="G59">
        <v>2.33</v>
      </c>
      <c r="H59" s="6">
        <v>0.94</v>
      </c>
    </row>
    <row r="60" spans="1:26" x14ac:dyDescent="0.3">
      <c r="A60">
        <v>59</v>
      </c>
      <c r="B60">
        <v>1</v>
      </c>
      <c r="C60" s="4">
        <v>44776</v>
      </c>
      <c r="D60" s="4" t="s">
        <v>8</v>
      </c>
      <c r="E60" t="s">
        <v>9</v>
      </c>
      <c r="F60" s="5">
        <v>22.32</v>
      </c>
      <c r="G60">
        <v>3.64</v>
      </c>
      <c r="H60" s="6">
        <v>0.51</v>
      </c>
    </row>
    <row r="61" spans="1:26" x14ac:dyDescent="0.3">
      <c r="A61">
        <v>60</v>
      </c>
      <c r="B61">
        <v>1</v>
      </c>
      <c r="C61" s="4">
        <v>44807</v>
      </c>
      <c r="D61" s="4" t="s">
        <v>12</v>
      </c>
      <c r="E61" t="s">
        <v>11</v>
      </c>
      <c r="F61" s="5">
        <v>21.32</v>
      </c>
      <c r="G61">
        <v>4.12</v>
      </c>
      <c r="H61" s="6">
        <v>0.32</v>
      </c>
    </row>
    <row r="62" spans="1:26" x14ac:dyDescent="0.3">
      <c r="A62">
        <v>61</v>
      </c>
      <c r="B62">
        <v>2</v>
      </c>
      <c r="C62" s="4">
        <v>44837</v>
      </c>
      <c r="D62" s="4" t="s">
        <v>13</v>
      </c>
      <c r="E62" t="s">
        <v>11</v>
      </c>
      <c r="F62" s="5">
        <v>22.32</v>
      </c>
      <c r="G62">
        <v>1.23</v>
      </c>
      <c r="H62" s="6">
        <v>0.05</v>
      </c>
    </row>
    <row r="63" spans="1:26" x14ac:dyDescent="0.3">
      <c r="A63">
        <v>62</v>
      </c>
      <c r="B63">
        <v>3</v>
      </c>
      <c r="C63" s="4">
        <v>44868</v>
      </c>
      <c r="D63" s="4" t="s">
        <v>8</v>
      </c>
      <c r="E63" t="s">
        <v>9</v>
      </c>
      <c r="F63" s="5">
        <v>72.319999999999993</v>
      </c>
      <c r="G63">
        <v>0.57999999999999996</v>
      </c>
      <c r="H63" s="6">
        <v>0.4</v>
      </c>
    </row>
    <row r="64" spans="1:26" x14ac:dyDescent="0.3">
      <c r="A64">
        <v>63</v>
      </c>
      <c r="B64">
        <v>5</v>
      </c>
      <c r="C64" s="4">
        <v>44898</v>
      </c>
      <c r="D64" s="4" t="s">
        <v>10</v>
      </c>
      <c r="E64" t="s">
        <v>11</v>
      </c>
      <c r="F64" s="5">
        <v>30.12</v>
      </c>
      <c r="G64">
        <v>2.0499999999999998</v>
      </c>
      <c r="H64" s="6">
        <v>0.91</v>
      </c>
    </row>
    <row r="65" spans="1:8" x14ac:dyDescent="0.3">
      <c r="A65">
        <v>64</v>
      </c>
      <c r="B65">
        <v>2</v>
      </c>
      <c r="C65" s="4">
        <v>44929</v>
      </c>
      <c r="D65" s="4" t="s">
        <v>10</v>
      </c>
      <c r="E65" t="s">
        <v>11</v>
      </c>
      <c r="F65" s="5">
        <v>22.32</v>
      </c>
      <c r="G65">
        <v>3.21</v>
      </c>
      <c r="H65" s="6">
        <v>0.45</v>
      </c>
    </row>
    <row r="66" spans="1:8" x14ac:dyDescent="0.3">
      <c r="A66">
        <v>65</v>
      </c>
      <c r="B66">
        <v>2</v>
      </c>
      <c r="C66" s="4">
        <v>44960</v>
      </c>
      <c r="D66" s="4" t="s">
        <v>8</v>
      </c>
      <c r="E66" t="s">
        <v>9</v>
      </c>
      <c r="F66" s="5">
        <v>38.14</v>
      </c>
      <c r="G66">
        <v>4.2300000000000004</v>
      </c>
      <c r="H66" s="6">
        <v>0.56999999999999995</v>
      </c>
    </row>
    <row r="67" spans="1:8" x14ac:dyDescent="0.3">
      <c r="A67">
        <v>66</v>
      </c>
      <c r="B67">
        <v>1</v>
      </c>
      <c r="C67" s="4">
        <v>44988</v>
      </c>
      <c r="D67" s="4" t="s">
        <v>12</v>
      </c>
      <c r="E67" t="s">
        <v>11</v>
      </c>
      <c r="F67" s="5">
        <v>38.14</v>
      </c>
      <c r="G67">
        <v>5.34</v>
      </c>
      <c r="H67" s="6">
        <v>0.1</v>
      </c>
    </row>
    <row r="68" spans="1:8" x14ac:dyDescent="0.3">
      <c r="A68">
        <v>67</v>
      </c>
      <c r="B68">
        <v>2</v>
      </c>
      <c r="C68" s="4">
        <v>45019</v>
      </c>
      <c r="D68" s="4" t="s">
        <v>13</v>
      </c>
      <c r="E68" t="s">
        <v>11</v>
      </c>
      <c r="F68" s="5">
        <v>38.14</v>
      </c>
      <c r="G68">
        <v>2.7</v>
      </c>
      <c r="H68" s="6">
        <v>0.72</v>
      </c>
    </row>
    <row r="69" spans="1:8" x14ac:dyDescent="0.3">
      <c r="A69">
        <v>68</v>
      </c>
      <c r="B69">
        <v>2</v>
      </c>
      <c r="C69" s="4">
        <v>45049</v>
      </c>
      <c r="D69" s="4" t="s">
        <v>8</v>
      </c>
      <c r="E69" t="s">
        <v>9</v>
      </c>
      <c r="F69" s="5">
        <v>92.32</v>
      </c>
      <c r="G69">
        <v>1.23</v>
      </c>
      <c r="H69" s="6">
        <v>0.46</v>
      </c>
    </row>
    <row r="70" spans="1:8" x14ac:dyDescent="0.3">
      <c r="A70">
        <v>69</v>
      </c>
      <c r="B70">
        <v>1</v>
      </c>
      <c r="C70" s="4">
        <v>45080</v>
      </c>
      <c r="D70" s="4" t="s">
        <v>10</v>
      </c>
      <c r="E70" t="s">
        <v>11</v>
      </c>
      <c r="F70" s="5">
        <v>92.32</v>
      </c>
      <c r="G70">
        <v>3.23</v>
      </c>
      <c r="H70" s="6">
        <v>0.5</v>
      </c>
    </row>
    <row r="71" spans="1:8" x14ac:dyDescent="0.3">
      <c r="A71">
        <v>70</v>
      </c>
      <c r="B71">
        <v>4</v>
      </c>
      <c r="C71" s="4">
        <v>45110</v>
      </c>
      <c r="D71" s="4" t="s">
        <v>10</v>
      </c>
      <c r="E71" t="s">
        <v>11</v>
      </c>
      <c r="F71" s="5">
        <v>50</v>
      </c>
      <c r="G71">
        <v>2.15</v>
      </c>
      <c r="H71" s="6">
        <v>0.67</v>
      </c>
    </row>
    <row r="72" spans="1:8" x14ac:dyDescent="0.3">
      <c r="A72">
        <v>71</v>
      </c>
      <c r="B72">
        <v>2</v>
      </c>
      <c r="C72" s="4">
        <v>45141</v>
      </c>
      <c r="D72" s="4" t="s">
        <v>8</v>
      </c>
      <c r="E72" t="s">
        <v>9</v>
      </c>
      <c r="F72" s="5">
        <v>100</v>
      </c>
      <c r="G72">
        <v>2.3199999999999998</v>
      </c>
      <c r="H72" s="6">
        <v>0.32</v>
      </c>
    </row>
    <row r="73" spans="1:8" x14ac:dyDescent="0.3">
      <c r="A73">
        <v>72</v>
      </c>
      <c r="B73">
        <v>2</v>
      </c>
      <c r="C73" s="4">
        <v>45172</v>
      </c>
      <c r="D73" s="4" t="s">
        <v>12</v>
      </c>
      <c r="E73" t="s">
        <v>11</v>
      </c>
      <c r="F73" s="5">
        <v>32.56</v>
      </c>
      <c r="G73">
        <v>2.0499999999999998</v>
      </c>
      <c r="H73" s="6">
        <v>0.31</v>
      </c>
    </row>
    <row r="74" spans="1:8" x14ac:dyDescent="0.3">
      <c r="A74">
        <v>73</v>
      </c>
      <c r="B74">
        <v>1</v>
      </c>
      <c r="C74" s="4">
        <v>45202</v>
      </c>
      <c r="D74" s="4" t="s">
        <v>13</v>
      </c>
      <c r="E74" t="s">
        <v>11</v>
      </c>
      <c r="F74" s="5">
        <v>38.14</v>
      </c>
      <c r="G74">
        <v>3.21</v>
      </c>
      <c r="H74" s="6">
        <v>0.12</v>
      </c>
    </row>
    <row r="75" spans="1:8" x14ac:dyDescent="0.3">
      <c r="A75">
        <v>74</v>
      </c>
      <c r="B75">
        <v>5</v>
      </c>
      <c r="C75" s="4">
        <v>45233</v>
      </c>
      <c r="D75" s="4" t="s">
        <v>8</v>
      </c>
      <c r="E75" t="s">
        <v>9</v>
      </c>
      <c r="F75" s="5">
        <v>39.14</v>
      </c>
      <c r="G75">
        <v>4.2300000000000004</v>
      </c>
      <c r="H75" s="6">
        <v>0.44</v>
      </c>
    </row>
    <row r="76" spans="1:8" x14ac:dyDescent="0.3">
      <c r="A76">
        <v>75</v>
      </c>
      <c r="B76">
        <v>6</v>
      </c>
      <c r="C76" s="4">
        <v>45234</v>
      </c>
      <c r="D76" s="4" t="s">
        <v>8</v>
      </c>
      <c r="E76" t="s">
        <v>9</v>
      </c>
      <c r="F76" s="5">
        <v>2.12</v>
      </c>
      <c r="G76">
        <v>0</v>
      </c>
      <c r="H76" s="6">
        <v>0.1</v>
      </c>
    </row>
    <row r="77" spans="1:8" x14ac:dyDescent="0.3">
      <c r="A77">
        <v>76</v>
      </c>
      <c r="B77">
        <v>3</v>
      </c>
      <c r="C77" s="4">
        <v>45235</v>
      </c>
      <c r="D77" s="4" t="s">
        <v>8</v>
      </c>
      <c r="E77" t="s">
        <v>9</v>
      </c>
      <c r="F77" s="5">
        <v>2.19</v>
      </c>
      <c r="G77">
        <v>0</v>
      </c>
      <c r="H77" s="6">
        <v>0.35</v>
      </c>
    </row>
    <row r="78" spans="1:8" x14ac:dyDescent="0.3">
      <c r="A78">
        <v>77</v>
      </c>
      <c r="B78">
        <v>5</v>
      </c>
      <c r="C78" s="4">
        <v>45236</v>
      </c>
      <c r="D78" s="4" t="s">
        <v>8</v>
      </c>
      <c r="E78" t="s">
        <v>9</v>
      </c>
      <c r="F78" s="5">
        <v>2.12</v>
      </c>
      <c r="G78">
        <v>0</v>
      </c>
      <c r="H78" s="6">
        <v>0.43</v>
      </c>
    </row>
    <row r="79" spans="1:8" x14ac:dyDescent="0.3">
      <c r="A79">
        <v>78</v>
      </c>
      <c r="B79">
        <v>4</v>
      </c>
      <c r="C79" s="4">
        <v>45237</v>
      </c>
      <c r="D79" s="4" t="s">
        <v>8</v>
      </c>
      <c r="E79" t="s">
        <v>9</v>
      </c>
      <c r="F79" s="5">
        <v>3.1</v>
      </c>
      <c r="G79">
        <v>0</v>
      </c>
      <c r="H79" s="6">
        <v>0.52</v>
      </c>
    </row>
    <row r="80" spans="1:8" x14ac:dyDescent="0.3">
      <c r="A80">
        <v>79</v>
      </c>
      <c r="B80">
        <v>4</v>
      </c>
      <c r="C80" s="4">
        <v>45238</v>
      </c>
      <c r="D80" s="4" t="s">
        <v>8</v>
      </c>
      <c r="E80" t="s">
        <v>9</v>
      </c>
      <c r="F80" s="5">
        <v>2.12</v>
      </c>
      <c r="G80">
        <v>0</v>
      </c>
      <c r="H80" s="6">
        <v>0.28000000000000003</v>
      </c>
    </row>
    <row r="81" spans="1:8" x14ac:dyDescent="0.3">
      <c r="A81">
        <v>80</v>
      </c>
      <c r="B81">
        <v>4</v>
      </c>
      <c r="C81" s="4">
        <v>45239</v>
      </c>
      <c r="D81" s="4" t="s">
        <v>8</v>
      </c>
      <c r="E81" t="s">
        <v>9</v>
      </c>
      <c r="F81" s="5">
        <v>4.2</v>
      </c>
      <c r="G81">
        <v>0</v>
      </c>
      <c r="H81" s="6">
        <v>0.87</v>
      </c>
    </row>
    <row r="82" spans="1:8" x14ac:dyDescent="0.3">
      <c r="A82">
        <v>81</v>
      </c>
      <c r="B82">
        <v>2</v>
      </c>
      <c r="C82" s="4">
        <v>45240</v>
      </c>
      <c r="D82" s="4" t="s">
        <v>8</v>
      </c>
      <c r="E82" t="s">
        <v>9</v>
      </c>
      <c r="F82" s="5">
        <v>2.12</v>
      </c>
      <c r="G82">
        <v>0</v>
      </c>
      <c r="H82" s="6">
        <v>0.55000000000000004</v>
      </c>
    </row>
    <row r="83" spans="1:8" x14ac:dyDescent="0.3">
      <c r="A83">
        <v>82</v>
      </c>
      <c r="B83">
        <v>2</v>
      </c>
      <c r="C83" s="4">
        <v>45241</v>
      </c>
      <c r="D83" s="4" t="s">
        <v>8</v>
      </c>
      <c r="E83" t="s">
        <v>9</v>
      </c>
      <c r="F83" s="5">
        <v>3.1</v>
      </c>
      <c r="G83">
        <v>0</v>
      </c>
      <c r="H83" s="6">
        <v>0.4</v>
      </c>
    </row>
    <row r="84" spans="1:8" x14ac:dyDescent="0.3">
      <c r="A84">
        <v>83</v>
      </c>
      <c r="B84">
        <v>1</v>
      </c>
      <c r="C84" s="4">
        <v>45242</v>
      </c>
      <c r="D84" s="4" t="s">
        <v>8</v>
      </c>
      <c r="E84" t="s">
        <v>9</v>
      </c>
      <c r="F84" s="5">
        <v>2.12</v>
      </c>
      <c r="G84">
        <v>0</v>
      </c>
      <c r="H84" s="6">
        <v>0.96</v>
      </c>
    </row>
    <row r="85" spans="1:8" x14ac:dyDescent="0.3">
      <c r="A85">
        <v>84</v>
      </c>
      <c r="B85">
        <v>3</v>
      </c>
      <c r="C85" s="4">
        <v>45243</v>
      </c>
      <c r="D85" s="4" t="s">
        <v>8</v>
      </c>
      <c r="E85" t="s">
        <v>9</v>
      </c>
      <c r="F85" s="5">
        <v>4.2</v>
      </c>
      <c r="G85">
        <v>0</v>
      </c>
      <c r="H85" s="6">
        <v>0.8</v>
      </c>
    </row>
    <row r="86" spans="1:8" x14ac:dyDescent="0.3">
      <c r="A86">
        <v>85</v>
      </c>
      <c r="B86">
        <v>5</v>
      </c>
      <c r="C86" s="4">
        <v>45244</v>
      </c>
      <c r="D86" s="4" t="s">
        <v>8</v>
      </c>
      <c r="E86" t="s">
        <v>9</v>
      </c>
      <c r="F86" s="5">
        <v>2.12</v>
      </c>
      <c r="G86">
        <v>0</v>
      </c>
      <c r="H86" s="6">
        <v>0.34</v>
      </c>
    </row>
    <row r="87" spans="1:8" x14ac:dyDescent="0.3">
      <c r="A87">
        <v>86</v>
      </c>
      <c r="B87">
        <v>6</v>
      </c>
      <c r="C87" s="4">
        <v>45245</v>
      </c>
      <c r="D87" s="4" t="s">
        <v>8</v>
      </c>
      <c r="E87" t="s">
        <v>9</v>
      </c>
      <c r="F87" s="5">
        <v>3.1</v>
      </c>
      <c r="G87">
        <v>0</v>
      </c>
      <c r="H87" s="6">
        <v>0.45</v>
      </c>
    </row>
    <row r="88" spans="1:8" x14ac:dyDescent="0.3">
      <c r="A88">
        <v>87</v>
      </c>
      <c r="B88">
        <v>4</v>
      </c>
      <c r="C88" s="4">
        <v>45246</v>
      </c>
      <c r="D88" s="4" t="s">
        <v>8</v>
      </c>
      <c r="E88" t="s">
        <v>9</v>
      </c>
      <c r="F88" s="5">
        <v>2.12</v>
      </c>
      <c r="G88">
        <v>0</v>
      </c>
      <c r="H88" s="6">
        <v>0.4</v>
      </c>
    </row>
    <row r="89" spans="1:8" x14ac:dyDescent="0.3">
      <c r="A89">
        <v>88</v>
      </c>
      <c r="B89">
        <v>5</v>
      </c>
      <c r="C89" s="4">
        <v>45247</v>
      </c>
      <c r="D89" s="4" t="s">
        <v>8</v>
      </c>
      <c r="E89" t="s">
        <v>9</v>
      </c>
      <c r="F89" s="5">
        <v>2.12</v>
      </c>
      <c r="G89">
        <v>0</v>
      </c>
      <c r="H89" s="6">
        <v>0.79</v>
      </c>
    </row>
    <row r="90" spans="1:8" x14ac:dyDescent="0.3">
      <c r="A90">
        <v>89</v>
      </c>
      <c r="B90">
        <v>5</v>
      </c>
      <c r="C90" s="4">
        <v>45248</v>
      </c>
      <c r="D90" s="4" t="s">
        <v>8</v>
      </c>
      <c r="E90" t="s">
        <v>9</v>
      </c>
      <c r="F90" s="5">
        <v>4.2</v>
      </c>
      <c r="G90">
        <v>0</v>
      </c>
      <c r="H90" s="6">
        <v>0.2</v>
      </c>
    </row>
    <row r="91" spans="1:8" x14ac:dyDescent="0.3">
      <c r="A91">
        <v>90</v>
      </c>
      <c r="B91">
        <v>4</v>
      </c>
      <c r="C91" s="4">
        <v>45249</v>
      </c>
      <c r="D91" s="4" t="s">
        <v>8</v>
      </c>
      <c r="E91" t="s">
        <v>9</v>
      </c>
      <c r="F91" s="5">
        <v>2.12</v>
      </c>
      <c r="G91">
        <v>0</v>
      </c>
      <c r="H91" s="6">
        <v>0.13</v>
      </c>
    </row>
    <row r="92" spans="1:8" x14ac:dyDescent="0.3">
      <c r="A92">
        <v>91</v>
      </c>
      <c r="B92">
        <v>6</v>
      </c>
      <c r="C92" s="4">
        <v>45250</v>
      </c>
      <c r="D92" s="4" t="s">
        <v>8</v>
      </c>
      <c r="E92" t="s">
        <v>9</v>
      </c>
      <c r="F92" s="5">
        <v>2.12</v>
      </c>
      <c r="G92">
        <v>0</v>
      </c>
      <c r="H92" s="6">
        <v>0.7</v>
      </c>
    </row>
    <row r="93" spans="1:8" x14ac:dyDescent="0.3">
      <c r="A93">
        <v>92</v>
      </c>
      <c r="B93">
        <v>1</v>
      </c>
      <c r="C93" s="4">
        <v>45251</v>
      </c>
      <c r="D93" s="4" t="s">
        <v>8</v>
      </c>
      <c r="E93" t="s">
        <v>9</v>
      </c>
      <c r="F93" s="5">
        <v>4.2</v>
      </c>
      <c r="G93">
        <v>0</v>
      </c>
      <c r="H93" s="6">
        <v>0.69</v>
      </c>
    </row>
    <row r="94" spans="1:8" x14ac:dyDescent="0.3">
      <c r="A94">
        <v>93</v>
      </c>
      <c r="B94">
        <v>1</v>
      </c>
      <c r="C94" s="4">
        <v>45252</v>
      </c>
      <c r="D94" s="4" t="s">
        <v>8</v>
      </c>
      <c r="E94" t="s">
        <v>9</v>
      </c>
      <c r="F94" s="5">
        <v>2.12</v>
      </c>
      <c r="G94">
        <v>0</v>
      </c>
      <c r="H94" s="6">
        <v>0.76</v>
      </c>
    </row>
    <row r="95" spans="1:8" x14ac:dyDescent="0.3">
      <c r="A95">
        <v>94</v>
      </c>
      <c r="B95">
        <v>1</v>
      </c>
      <c r="C95" s="4">
        <v>45263</v>
      </c>
      <c r="D95" s="4" t="s">
        <v>10</v>
      </c>
      <c r="E95" t="s">
        <v>11</v>
      </c>
      <c r="F95" s="5">
        <v>55.14</v>
      </c>
      <c r="G95">
        <v>5.34</v>
      </c>
      <c r="H95" s="6">
        <v>0.82</v>
      </c>
    </row>
    <row r="96" spans="1:8" x14ac:dyDescent="0.3">
      <c r="A96">
        <v>95</v>
      </c>
      <c r="B96">
        <v>6</v>
      </c>
      <c r="C96" s="4">
        <v>45294</v>
      </c>
      <c r="D96" s="4" t="s">
        <v>12</v>
      </c>
      <c r="E96" t="s">
        <v>11</v>
      </c>
      <c r="F96" s="5">
        <v>22.32</v>
      </c>
      <c r="G96">
        <v>2.7</v>
      </c>
      <c r="H96" s="6">
        <v>0.69</v>
      </c>
    </row>
    <row r="97" spans="1:8" x14ac:dyDescent="0.3">
      <c r="A97">
        <v>96</v>
      </c>
      <c r="B97">
        <v>4</v>
      </c>
      <c r="C97" s="4">
        <v>45331</v>
      </c>
      <c r="D97" s="4" t="s">
        <v>8</v>
      </c>
      <c r="E97" t="s">
        <v>9</v>
      </c>
      <c r="F97" s="5">
        <v>21.32</v>
      </c>
      <c r="G97">
        <v>1.23</v>
      </c>
      <c r="H97" s="6">
        <v>0.5</v>
      </c>
    </row>
    <row r="98" spans="1:8" x14ac:dyDescent="0.3">
      <c r="A98">
        <v>97</v>
      </c>
      <c r="B98">
        <v>4</v>
      </c>
      <c r="C98" s="4">
        <v>45354</v>
      </c>
      <c r="D98" s="4" t="s">
        <v>10</v>
      </c>
      <c r="E98" t="s">
        <v>11</v>
      </c>
      <c r="F98" s="5">
        <v>22.32</v>
      </c>
      <c r="G98">
        <v>3.23</v>
      </c>
      <c r="H98" s="6">
        <v>0.91</v>
      </c>
    </row>
    <row r="99" spans="1:8" x14ac:dyDescent="0.3">
      <c r="A99">
        <v>98</v>
      </c>
      <c r="B99">
        <v>6</v>
      </c>
      <c r="C99" s="4">
        <v>45385</v>
      </c>
      <c r="D99" s="4" t="s">
        <v>10</v>
      </c>
      <c r="E99" t="s">
        <v>11</v>
      </c>
      <c r="F99" s="5">
        <v>72.319999999999993</v>
      </c>
      <c r="G99">
        <v>2.42</v>
      </c>
      <c r="H99" s="6">
        <v>0.39</v>
      </c>
    </row>
    <row r="100" spans="1:8" x14ac:dyDescent="0.3">
      <c r="A100">
        <v>99</v>
      </c>
      <c r="B100">
        <v>5</v>
      </c>
      <c r="C100" s="4">
        <v>45415</v>
      </c>
      <c r="D100" s="4" t="s">
        <v>8</v>
      </c>
      <c r="E100" t="s">
        <v>9</v>
      </c>
      <c r="F100" s="5">
        <v>30.12</v>
      </c>
      <c r="G100">
        <v>2.33</v>
      </c>
      <c r="H100" s="6">
        <v>0.71</v>
      </c>
    </row>
    <row r="101" spans="1:8" x14ac:dyDescent="0.3">
      <c r="A101">
        <v>100</v>
      </c>
      <c r="B101">
        <v>5</v>
      </c>
      <c r="C101" s="4">
        <v>45446</v>
      </c>
      <c r="D101" s="4" t="s">
        <v>14</v>
      </c>
      <c r="E101" t="s">
        <v>11</v>
      </c>
      <c r="F101" s="5">
        <v>22.32</v>
      </c>
      <c r="G101">
        <v>3.64</v>
      </c>
      <c r="H101" s="6">
        <v>0.84</v>
      </c>
    </row>
    <row r="102" spans="1:8" x14ac:dyDescent="0.3">
      <c r="A102">
        <v>101</v>
      </c>
      <c r="B102">
        <v>6</v>
      </c>
      <c r="C102" s="4">
        <v>45476</v>
      </c>
      <c r="D102" s="4" t="s">
        <v>12</v>
      </c>
      <c r="E102" t="s">
        <v>11</v>
      </c>
      <c r="F102" s="5">
        <v>38.14</v>
      </c>
      <c r="G102">
        <v>4.12</v>
      </c>
      <c r="H102" s="6">
        <v>0.44</v>
      </c>
    </row>
    <row r="103" spans="1:8" x14ac:dyDescent="0.3">
      <c r="A103">
        <v>102</v>
      </c>
      <c r="B103">
        <v>6</v>
      </c>
      <c r="C103" s="4">
        <v>45507</v>
      </c>
      <c r="D103" s="4" t="s">
        <v>8</v>
      </c>
      <c r="E103" t="s">
        <v>9</v>
      </c>
      <c r="F103" s="5">
        <v>38.14</v>
      </c>
      <c r="G103">
        <v>1.23</v>
      </c>
      <c r="H103" s="6">
        <v>0.4</v>
      </c>
    </row>
    <row r="104" spans="1:8" x14ac:dyDescent="0.3">
      <c r="A104">
        <v>103</v>
      </c>
      <c r="B104">
        <v>3</v>
      </c>
      <c r="C104" s="4">
        <v>45538</v>
      </c>
      <c r="D104" s="4" t="s">
        <v>13</v>
      </c>
      <c r="E104" t="s">
        <v>11</v>
      </c>
      <c r="F104" s="5">
        <v>38.14</v>
      </c>
      <c r="G104">
        <v>1.23</v>
      </c>
      <c r="H104" s="6">
        <v>0.57999999999999996</v>
      </c>
    </row>
    <row r="105" spans="1:8" x14ac:dyDescent="0.3">
      <c r="A105">
        <v>104</v>
      </c>
      <c r="B105">
        <v>4</v>
      </c>
      <c r="C105" s="4">
        <v>45568</v>
      </c>
      <c r="D105" s="4" t="s">
        <v>10</v>
      </c>
      <c r="E105" t="s">
        <v>11</v>
      </c>
      <c r="F105" s="5">
        <v>92.32</v>
      </c>
      <c r="G105">
        <v>1.23</v>
      </c>
      <c r="H105" s="6">
        <v>0.75</v>
      </c>
    </row>
  </sheetData>
  <autoFilter ref="A1:H105" xr:uid="{DD8A7E1D-E4CD-4EDB-B854-A35EF4051AB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1DF1-1D7E-46BE-871A-C5AD079F5A47}">
  <dimension ref="A1:R214"/>
  <sheetViews>
    <sheetView topLeftCell="A4" zoomScale="145" zoomScaleNormal="145" workbookViewId="0">
      <selection activeCell="K7" sqref="K7"/>
    </sheetView>
  </sheetViews>
  <sheetFormatPr defaultRowHeight="14.4" x14ac:dyDescent="0.3"/>
  <cols>
    <col min="1" max="1" width="14.77734375" bestFit="1" customWidth="1"/>
    <col min="2" max="2" width="9" bestFit="1" customWidth="1"/>
    <col min="3" max="3" width="12" bestFit="1" customWidth="1"/>
    <col min="4" max="4" width="14.77734375" bestFit="1" customWidth="1"/>
    <col min="5" max="6" width="9.88671875" bestFit="1" customWidth="1"/>
    <col min="7" max="7" width="12" bestFit="1" customWidth="1"/>
    <col min="8" max="8" width="11.6640625" bestFit="1" customWidth="1"/>
    <col min="11" max="11" width="14.77734375" bestFit="1" customWidth="1"/>
    <col min="13" max="13" width="11" style="4" bestFit="1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K1" s="1" t="s">
        <v>0</v>
      </c>
      <c r="L1" s="1"/>
      <c r="M1" s="2"/>
      <c r="N1" s="2"/>
      <c r="O1" s="1"/>
      <c r="P1" s="3"/>
      <c r="Q1" s="1"/>
      <c r="R1" s="1"/>
    </row>
    <row r="2" spans="1:18" x14ac:dyDescent="0.3">
      <c r="A2">
        <v>1</v>
      </c>
      <c r="C2" s="4">
        <v>42012</v>
      </c>
      <c r="D2" s="4" t="s">
        <v>8</v>
      </c>
      <c r="E2" t="s">
        <v>9</v>
      </c>
      <c r="F2" s="5">
        <v>35</v>
      </c>
      <c r="G2">
        <v>1.35</v>
      </c>
      <c r="H2" s="6">
        <v>7.0000000000000007E-2</v>
      </c>
      <c r="K2" cm="1">
        <f t="array" ref="K2:K4">_xlfn.LET(_xlpm.dati_filtrati,_xlfn._xlws.FILTER(A2:H105,(E2:E105="Software"),"non presente"),
     _xlpm.dati_ordinati,_xlfn._xlws.SORT(_xlpm.dati_filtrati,6,-1),
     _xlpm.top,_xlfn.CHOOSEROWS(_xlpm.dati_ordinati,1,2,3),
     _xlpm.toptop,_xlfn.CHOOSECOLS(_xlpm.top,1),
     _xlpm.toptop
)</f>
        <v>71</v>
      </c>
    </row>
    <row r="3" spans="1:18" x14ac:dyDescent="0.3">
      <c r="A3">
        <v>2</v>
      </c>
      <c r="B3">
        <v>2</v>
      </c>
      <c r="C3" s="4">
        <v>42012</v>
      </c>
      <c r="D3" s="4" t="s">
        <v>10</v>
      </c>
      <c r="E3" t="s">
        <v>11</v>
      </c>
      <c r="F3" s="5">
        <v>25.17</v>
      </c>
      <c r="G3">
        <v>3.21</v>
      </c>
      <c r="H3" s="6">
        <v>0.16</v>
      </c>
      <c r="K3">
        <v>16</v>
      </c>
    </row>
    <row r="4" spans="1:18" x14ac:dyDescent="0.3">
      <c r="A4">
        <v>3</v>
      </c>
      <c r="B4">
        <v>5</v>
      </c>
      <c r="C4" s="4">
        <v>42038</v>
      </c>
      <c r="D4" s="4" t="s">
        <v>8</v>
      </c>
      <c r="E4" t="s">
        <v>9</v>
      </c>
      <c r="F4" s="5">
        <v>38.14</v>
      </c>
      <c r="G4">
        <v>2.41</v>
      </c>
      <c r="H4" s="6">
        <v>0.2</v>
      </c>
      <c r="K4">
        <v>33</v>
      </c>
    </row>
    <row r="5" spans="1:18" x14ac:dyDescent="0.3">
      <c r="A5">
        <v>4</v>
      </c>
      <c r="B5">
        <v>4</v>
      </c>
      <c r="C5" s="4">
        <v>42066</v>
      </c>
      <c r="D5" s="4" t="s">
        <v>8</v>
      </c>
      <c r="E5" t="s">
        <v>11</v>
      </c>
      <c r="F5" s="5">
        <v>39.14</v>
      </c>
      <c r="G5">
        <v>2.15</v>
      </c>
      <c r="H5" s="6">
        <v>0.46</v>
      </c>
    </row>
    <row r="6" spans="1:18" x14ac:dyDescent="0.3">
      <c r="A6">
        <v>5</v>
      </c>
      <c r="B6">
        <v>6</v>
      </c>
      <c r="C6" s="4">
        <v>42467</v>
      </c>
      <c r="D6" s="4" t="s">
        <v>10</v>
      </c>
      <c r="E6" t="s">
        <v>9</v>
      </c>
      <c r="F6" s="5">
        <v>55.14</v>
      </c>
      <c r="G6">
        <v>2.3199999999999998</v>
      </c>
      <c r="H6" s="6">
        <v>0.66</v>
      </c>
    </row>
    <row r="7" spans="1:18" x14ac:dyDescent="0.3">
      <c r="A7">
        <v>6</v>
      </c>
      <c r="B7">
        <v>3</v>
      </c>
      <c r="C7" s="4">
        <v>42491</v>
      </c>
      <c r="D7" s="4" t="s">
        <v>12</v>
      </c>
      <c r="E7" t="s">
        <v>11</v>
      </c>
      <c r="F7" s="5">
        <v>22.32</v>
      </c>
      <c r="G7">
        <v>2.0499999999999998</v>
      </c>
      <c r="H7" s="6">
        <v>0.56999999999999995</v>
      </c>
      <c r="K7" cm="1">
        <f t="array" ref="K7:R214">IF(_xlfn.VSTACK(A2:H105,Fatture!A2:H105)="","",_xlfn.VSTACK(A2:H105,Fatture!A2:H105))</f>
        <v>1</v>
      </c>
      <c r="L7" t="str">
        <v/>
      </c>
      <c r="M7" s="4">
        <v>42012</v>
      </c>
      <c r="N7" t="str">
        <v>001-SFT-001</v>
      </c>
      <c r="O7" t="str">
        <v>Software</v>
      </c>
      <c r="P7">
        <v>35</v>
      </c>
      <c r="Q7">
        <v>1.35</v>
      </c>
      <c r="R7">
        <v>7.0000000000000007E-2</v>
      </c>
    </row>
    <row r="8" spans="1:18" x14ac:dyDescent="0.3">
      <c r="A8">
        <v>7</v>
      </c>
      <c r="B8">
        <v>6</v>
      </c>
      <c r="C8" s="4">
        <v>42583</v>
      </c>
      <c r="D8" s="4" t="s">
        <v>10</v>
      </c>
      <c r="E8" t="s">
        <v>11</v>
      </c>
      <c r="F8" s="5">
        <v>21.32</v>
      </c>
      <c r="G8">
        <v>3.21</v>
      </c>
      <c r="H8" s="6">
        <v>0.18</v>
      </c>
      <c r="K8">
        <v>2</v>
      </c>
      <c r="L8">
        <v>2</v>
      </c>
      <c r="M8" s="4">
        <v>42012</v>
      </c>
      <c r="N8" t="str">
        <v>001-CDC-001</v>
      </c>
      <c r="O8" t="str">
        <v>Hardware</v>
      </c>
      <c r="P8">
        <v>25.17</v>
      </c>
      <c r="Q8">
        <v>3.21</v>
      </c>
      <c r="R8">
        <v>0.16</v>
      </c>
    </row>
    <row r="9" spans="1:18" x14ac:dyDescent="0.3">
      <c r="A9">
        <v>8</v>
      </c>
      <c r="B9">
        <v>5</v>
      </c>
      <c r="C9" s="4">
        <v>42654</v>
      </c>
      <c r="D9" s="4" t="s">
        <v>8</v>
      </c>
      <c r="E9" t="s">
        <v>9</v>
      </c>
      <c r="F9" s="5">
        <v>22.32</v>
      </c>
      <c r="G9">
        <v>4.2300000000000004</v>
      </c>
      <c r="H9" s="6">
        <v>0.26</v>
      </c>
      <c r="K9">
        <v>3</v>
      </c>
      <c r="L9">
        <v>5</v>
      </c>
      <c r="M9" s="4">
        <v>42038</v>
      </c>
      <c r="N9" t="str">
        <v>001-SFT-001</v>
      </c>
      <c r="O9" t="str">
        <v>Software</v>
      </c>
      <c r="P9">
        <v>38.14</v>
      </c>
      <c r="Q9">
        <v>2.41</v>
      </c>
      <c r="R9">
        <v>0.2</v>
      </c>
    </row>
    <row r="10" spans="1:18" x14ac:dyDescent="0.3">
      <c r="A10">
        <v>9</v>
      </c>
      <c r="B10">
        <v>6</v>
      </c>
      <c r="C10" s="4">
        <v>43019</v>
      </c>
      <c r="D10" s="4" t="s">
        <v>8</v>
      </c>
      <c r="E10" t="s">
        <v>9</v>
      </c>
      <c r="F10" s="5">
        <v>72.319999999999993</v>
      </c>
      <c r="G10">
        <v>5.34</v>
      </c>
      <c r="H10" s="6">
        <v>0.37</v>
      </c>
      <c r="K10">
        <v>4</v>
      </c>
      <c r="L10">
        <v>4</v>
      </c>
      <c r="M10" s="4">
        <v>42066</v>
      </c>
      <c r="N10" t="str">
        <v>001-SFT-001</v>
      </c>
      <c r="O10" t="str">
        <v>Hardware</v>
      </c>
      <c r="P10">
        <v>39.14</v>
      </c>
      <c r="Q10">
        <v>2.15</v>
      </c>
      <c r="R10">
        <v>0.46</v>
      </c>
    </row>
    <row r="11" spans="1:18" x14ac:dyDescent="0.3">
      <c r="A11">
        <v>10</v>
      </c>
      <c r="B11">
        <v>1</v>
      </c>
      <c r="C11" s="4">
        <v>43025</v>
      </c>
      <c r="D11" s="4" t="s">
        <v>10</v>
      </c>
      <c r="E11" t="s">
        <v>11</v>
      </c>
      <c r="F11" s="5">
        <v>30.12</v>
      </c>
      <c r="G11">
        <v>2.7</v>
      </c>
      <c r="H11" s="6">
        <v>0.6</v>
      </c>
      <c r="K11">
        <v>5</v>
      </c>
      <c r="L11">
        <v>6</v>
      </c>
      <c r="M11" s="4">
        <v>42467</v>
      </c>
      <c r="N11" t="str">
        <v>001-CDC-001</v>
      </c>
      <c r="O11" t="str">
        <v>Software</v>
      </c>
      <c r="P11">
        <v>55.14</v>
      </c>
      <c r="Q11">
        <v>2.3199999999999998</v>
      </c>
      <c r="R11">
        <v>0.66</v>
      </c>
    </row>
    <row r="12" spans="1:18" x14ac:dyDescent="0.3">
      <c r="A12">
        <v>11</v>
      </c>
      <c r="B12">
        <v>5</v>
      </c>
      <c r="C12" s="4">
        <v>43025</v>
      </c>
      <c r="D12" s="4" t="s">
        <v>13</v>
      </c>
      <c r="E12" t="s">
        <v>11</v>
      </c>
      <c r="F12" s="5">
        <v>22.32</v>
      </c>
      <c r="G12">
        <v>1.23</v>
      </c>
      <c r="H12" s="6">
        <v>0.02</v>
      </c>
      <c r="K12">
        <v>6</v>
      </c>
      <c r="L12">
        <v>3</v>
      </c>
      <c r="M12" s="4">
        <v>42491</v>
      </c>
      <c r="N12" t="str">
        <v>001-ABC-003</v>
      </c>
      <c r="O12" t="str">
        <v>Hardware</v>
      </c>
      <c r="P12">
        <v>22.32</v>
      </c>
      <c r="Q12">
        <v>2.0499999999999998</v>
      </c>
      <c r="R12">
        <v>0.56999999999999995</v>
      </c>
    </row>
    <row r="13" spans="1:18" x14ac:dyDescent="0.3">
      <c r="A13">
        <v>12</v>
      </c>
      <c r="B13">
        <v>4</v>
      </c>
      <c r="C13" s="4">
        <v>43080</v>
      </c>
      <c r="D13" s="4" t="s">
        <v>8</v>
      </c>
      <c r="E13" t="s">
        <v>9</v>
      </c>
      <c r="F13" s="5">
        <v>38.14</v>
      </c>
      <c r="G13">
        <v>3.23</v>
      </c>
      <c r="H13" s="6">
        <v>0.01</v>
      </c>
      <c r="K13">
        <v>7</v>
      </c>
      <c r="L13">
        <v>6</v>
      </c>
      <c r="M13" s="4">
        <v>42583</v>
      </c>
      <c r="N13" t="str">
        <v>001-CDC-001</v>
      </c>
      <c r="O13" t="str">
        <v>Hardware</v>
      </c>
      <c r="P13">
        <v>21.32</v>
      </c>
      <c r="Q13">
        <v>3.21</v>
      </c>
      <c r="R13">
        <v>0.18</v>
      </c>
    </row>
    <row r="14" spans="1:18" x14ac:dyDescent="0.3">
      <c r="A14">
        <v>13</v>
      </c>
      <c r="B14">
        <v>2</v>
      </c>
      <c r="C14" s="4">
        <v>43451</v>
      </c>
      <c r="D14" s="4" t="s">
        <v>12</v>
      </c>
      <c r="E14" t="s">
        <v>11</v>
      </c>
      <c r="F14" s="5">
        <v>38.14</v>
      </c>
      <c r="G14">
        <v>2.42</v>
      </c>
      <c r="H14" s="6">
        <v>0.21</v>
      </c>
      <c r="K14">
        <v>8</v>
      </c>
      <c r="L14">
        <v>5</v>
      </c>
      <c r="M14" s="4">
        <v>42654</v>
      </c>
      <c r="N14" t="str">
        <v>001-SFT-001</v>
      </c>
      <c r="O14" t="str">
        <v>Software</v>
      </c>
      <c r="P14">
        <v>22.32</v>
      </c>
      <c r="Q14">
        <v>4.2300000000000004</v>
      </c>
      <c r="R14">
        <v>0.26</v>
      </c>
    </row>
    <row r="15" spans="1:18" x14ac:dyDescent="0.3">
      <c r="A15">
        <v>14</v>
      </c>
      <c r="B15">
        <v>5</v>
      </c>
      <c r="C15" s="4">
        <v>43451</v>
      </c>
      <c r="D15" s="4" t="s">
        <v>8</v>
      </c>
      <c r="E15" t="s">
        <v>9</v>
      </c>
      <c r="F15" s="5">
        <v>38.14</v>
      </c>
      <c r="G15">
        <v>2.33</v>
      </c>
      <c r="H15" s="6">
        <v>0.38</v>
      </c>
      <c r="K15">
        <v>9</v>
      </c>
      <c r="L15">
        <v>6</v>
      </c>
      <c r="M15" s="4">
        <v>43019</v>
      </c>
      <c r="N15" t="str">
        <v>001-SFT-001</v>
      </c>
      <c r="O15" t="str">
        <v>Software</v>
      </c>
      <c r="P15">
        <v>72.319999999999993</v>
      </c>
      <c r="Q15">
        <v>5.34</v>
      </c>
      <c r="R15">
        <v>0.37</v>
      </c>
    </row>
    <row r="16" spans="1:18" x14ac:dyDescent="0.3">
      <c r="A16">
        <v>15</v>
      </c>
      <c r="B16">
        <v>3</v>
      </c>
      <c r="C16" s="4">
        <v>43468</v>
      </c>
      <c r="D16" s="4" t="s">
        <v>14</v>
      </c>
      <c r="E16" t="s">
        <v>11</v>
      </c>
      <c r="F16" s="5">
        <v>92.32</v>
      </c>
      <c r="G16">
        <v>3.64</v>
      </c>
      <c r="H16" s="6">
        <v>0.99</v>
      </c>
      <c r="K16">
        <v>10</v>
      </c>
      <c r="L16">
        <v>1</v>
      </c>
      <c r="M16" s="4">
        <v>43025</v>
      </c>
      <c r="N16" t="str">
        <v>001-CDC-001</v>
      </c>
      <c r="O16" t="str">
        <v>Hardware</v>
      </c>
      <c r="P16">
        <v>30.12</v>
      </c>
      <c r="Q16">
        <v>2.7</v>
      </c>
      <c r="R16">
        <v>0.6</v>
      </c>
    </row>
    <row r="17" spans="1:18" x14ac:dyDescent="0.3">
      <c r="A17">
        <v>16</v>
      </c>
      <c r="B17">
        <v>6</v>
      </c>
      <c r="C17" s="4">
        <v>43468</v>
      </c>
      <c r="D17" s="4" t="s">
        <v>8</v>
      </c>
      <c r="E17" t="s">
        <v>9</v>
      </c>
      <c r="F17" s="5">
        <v>92.32</v>
      </c>
      <c r="G17">
        <v>4.12</v>
      </c>
      <c r="H17" s="6">
        <v>0.69</v>
      </c>
      <c r="K17">
        <v>11</v>
      </c>
      <c r="L17">
        <v>5</v>
      </c>
      <c r="M17" s="4">
        <v>43025</v>
      </c>
      <c r="N17" t="str">
        <v>001-CDC-002</v>
      </c>
      <c r="O17" t="str">
        <v>Hardware</v>
      </c>
      <c r="P17">
        <v>22.32</v>
      </c>
      <c r="Q17">
        <v>1.23</v>
      </c>
      <c r="R17">
        <v>0.02</v>
      </c>
    </row>
    <row r="18" spans="1:18" x14ac:dyDescent="0.3">
      <c r="A18">
        <v>17</v>
      </c>
      <c r="B18">
        <v>6</v>
      </c>
      <c r="C18" s="4">
        <v>43499</v>
      </c>
      <c r="D18" s="4" t="s">
        <v>13</v>
      </c>
      <c r="E18" t="s">
        <v>11</v>
      </c>
      <c r="F18" s="5">
        <v>50</v>
      </c>
      <c r="G18">
        <v>1.23</v>
      </c>
      <c r="H18" s="6">
        <v>0.92</v>
      </c>
      <c r="K18">
        <v>12</v>
      </c>
      <c r="L18">
        <v>4</v>
      </c>
      <c r="M18" s="4">
        <v>43080</v>
      </c>
      <c r="N18" t="str">
        <v>001-SFT-001</v>
      </c>
      <c r="O18" t="str">
        <v>Software</v>
      </c>
      <c r="P18">
        <v>38.14</v>
      </c>
      <c r="Q18">
        <v>3.23</v>
      </c>
      <c r="R18">
        <v>0.01</v>
      </c>
    </row>
    <row r="19" spans="1:18" x14ac:dyDescent="0.3">
      <c r="A19">
        <v>18</v>
      </c>
      <c r="B19">
        <v>4</v>
      </c>
      <c r="C19" s="4">
        <v>43527</v>
      </c>
      <c r="D19" s="4" t="s">
        <v>12</v>
      </c>
      <c r="E19" t="s">
        <v>11</v>
      </c>
      <c r="F19" s="5">
        <v>100</v>
      </c>
      <c r="G19">
        <v>5.23</v>
      </c>
      <c r="H19" s="6">
        <v>0.82</v>
      </c>
      <c r="K19">
        <v>13</v>
      </c>
      <c r="L19">
        <v>2</v>
      </c>
      <c r="M19" s="4">
        <v>43451</v>
      </c>
      <c r="N19" t="str">
        <v>001-ABC-003</v>
      </c>
      <c r="O19" t="str">
        <v>Hardware</v>
      </c>
      <c r="P19">
        <v>38.14</v>
      </c>
      <c r="Q19">
        <v>2.42</v>
      </c>
      <c r="R19">
        <v>0.21</v>
      </c>
    </row>
    <row r="20" spans="1:18" x14ac:dyDescent="0.3">
      <c r="A20">
        <v>19</v>
      </c>
      <c r="B20">
        <v>6</v>
      </c>
      <c r="C20" s="4">
        <v>43558</v>
      </c>
      <c r="D20" s="4" t="s">
        <v>13</v>
      </c>
      <c r="E20" t="s">
        <v>11</v>
      </c>
      <c r="F20" s="5">
        <v>32.56</v>
      </c>
      <c r="G20">
        <v>3.21</v>
      </c>
      <c r="H20" s="6">
        <v>0.82</v>
      </c>
      <c r="K20">
        <v>14</v>
      </c>
      <c r="L20">
        <v>5</v>
      </c>
      <c r="M20" s="4">
        <v>43451</v>
      </c>
      <c r="N20" t="str">
        <v>001-SFT-001</v>
      </c>
      <c r="O20" t="str">
        <v>Software</v>
      </c>
      <c r="P20">
        <v>38.14</v>
      </c>
      <c r="Q20">
        <v>2.33</v>
      </c>
      <c r="R20">
        <v>0.38</v>
      </c>
    </row>
    <row r="21" spans="1:18" x14ac:dyDescent="0.3">
      <c r="A21">
        <v>20</v>
      </c>
      <c r="B21">
        <v>2</v>
      </c>
      <c r="C21" s="4">
        <v>43588</v>
      </c>
      <c r="D21" s="4" t="s">
        <v>8</v>
      </c>
      <c r="E21" t="s">
        <v>9</v>
      </c>
      <c r="F21" s="5">
        <v>38.14</v>
      </c>
      <c r="G21">
        <v>2.41</v>
      </c>
      <c r="H21" s="6">
        <v>0.43</v>
      </c>
      <c r="K21">
        <v>15</v>
      </c>
      <c r="L21">
        <v>3</v>
      </c>
      <c r="M21" s="4">
        <v>43468</v>
      </c>
      <c r="N21" t="str">
        <v>001-CDC-003</v>
      </c>
      <c r="O21" t="str">
        <v>Hardware</v>
      </c>
      <c r="P21">
        <v>92.32</v>
      </c>
      <c r="Q21">
        <v>3.64</v>
      </c>
      <c r="R21">
        <v>0.99</v>
      </c>
    </row>
    <row r="22" spans="1:18" x14ac:dyDescent="0.3">
      <c r="A22">
        <v>21</v>
      </c>
      <c r="B22">
        <v>6</v>
      </c>
      <c r="C22" s="4">
        <v>43619</v>
      </c>
      <c r="D22" s="4" t="s">
        <v>8</v>
      </c>
      <c r="E22" t="s">
        <v>9</v>
      </c>
      <c r="F22" s="5">
        <v>39.14</v>
      </c>
      <c r="G22">
        <v>2.15</v>
      </c>
      <c r="H22" s="6">
        <v>7.0000000000000007E-2</v>
      </c>
      <c r="K22">
        <v>16</v>
      </c>
      <c r="L22">
        <v>6</v>
      </c>
      <c r="M22" s="4">
        <v>43468</v>
      </c>
      <c r="N22" t="str">
        <v>001-SFT-001</v>
      </c>
      <c r="O22" t="str">
        <v>Software</v>
      </c>
      <c r="P22">
        <v>92.32</v>
      </c>
      <c r="Q22">
        <v>4.12</v>
      </c>
      <c r="R22">
        <v>0.69</v>
      </c>
    </row>
    <row r="23" spans="1:18" x14ac:dyDescent="0.3">
      <c r="A23">
        <v>22</v>
      </c>
      <c r="B23">
        <v>6</v>
      </c>
      <c r="C23" s="4">
        <v>43649</v>
      </c>
      <c r="D23" s="4" t="s">
        <v>14</v>
      </c>
      <c r="E23" t="s">
        <v>11</v>
      </c>
      <c r="F23" s="5">
        <v>55.14</v>
      </c>
      <c r="G23">
        <v>2.3199999999999998</v>
      </c>
      <c r="H23" s="6">
        <v>0.05</v>
      </c>
      <c r="K23">
        <v>17</v>
      </c>
      <c r="L23">
        <v>6</v>
      </c>
      <c r="M23" s="4">
        <v>43499</v>
      </c>
      <c r="N23" t="str">
        <v>001-CDC-002</v>
      </c>
      <c r="O23" t="str">
        <v>Hardware</v>
      </c>
      <c r="P23">
        <v>50</v>
      </c>
      <c r="Q23">
        <v>1.23</v>
      </c>
      <c r="R23">
        <v>0.92</v>
      </c>
    </row>
    <row r="24" spans="1:18" x14ac:dyDescent="0.3">
      <c r="A24">
        <v>23</v>
      </c>
      <c r="B24">
        <v>1</v>
      </c>
      <c r="C24" s="4">
        <v>43680</v>
      </c>
      <c r="D24" s="4" t="s">
        <v>12</v>
      </c>
      <c r="E24" t="s">
        <v>11</v>
      </c>
      <c r="F24" s="5">
        <v>22.32</v>
      </c>
      <c r="G24">
        <v>2.0499999999999998</v>
      </c>
      <c r="H24" s="6">
        <v>0.39</v>
      </c>
      <c r="K24">
        <v>18</v>
      </c>
      <c r="L24">
        <v>4</v>
      </c>
      <c r="M24" s="4">
        <v>43527</v>
      </c>
      <c r="N24" t="str">
        <v>001-ABC-003</v>
      </c>
      <c r="O24" t="str">
        <v>Hardware</v>
      </c>
      <c r="P24">
        <v>100</v>
      </c>
      <c r="Q24">
        <v>5.23</v>
      </c>
      <c r="R24">
        <v>0.82</v>
      </c>
    </row>
    <row r="25" spans="1:18" x14ac:dyDescent="0.3">
      <c r="A25">
        <v>24</v>
      </c>
      <c r="B25">
        <v>2</v>
      </c>
      <c r="C25" s="4">
        <v>43711</v>
      </c>
      <c r="D25" s="4" t="s">
        <v>12</v>
      </c>
      <c r="E25" t="s">
        <v>11</v>
      </c>
      <c r="F25" s="5">
        <v>21.32</v>
      </c>
      <c r="G25">
        <v>3.21</v>
      </c>
      <c r="H25" s="6">
        <v>0.74</v>
      </c>
      <c r="K25">
        <v>19</v>
      </c>
      <c r="L25">
        <v>6</v>
      </c>
      <c r="M25" s="4">
        <v>43558</v>
      </c>
      <c r="N25" t="str">
        <v>001-CDC-002</v>
      </c>
      <c r="O25" t="str">
        <v>Hardware</v>
      </c>
      <c r="P25">
        <v>32.56</v>
      </c>
      <c r="Q25">
        <v>3.21</v>
      </c>
      <c r="R25">
        <v>0.82</v>
      </c>
    </row>
    <row r="26" spans="1:18" x14ac:dyDescent="0.3">
      <c r="A26">
        <v>25</v>
      </c>
      <c r="B26">
        <v>3</v>
      </c>
      <c r="C26" s="4">
        <v>43741</v>
      </c>
      <c r="D26" s="4" t="s">
        <v>8</v>
      </c>
      <c r="E26" t="s">
        <v>9</v>
      </c>
      <c r="F26" s="5">
        <v>22.32</v>
      </c>
      <c r="G26">
        <v>4.2300000000000004</v>
      </c>
      <c r="H26" s="6">
        <v>0.85</v>
      </c>
      <c r="K26">
        <v>20</v>
      </c>
      <c r="L26">
        <v>2</v>
      </c>
      <c r="M26" s="4">
        <v>43588</v>
      </c>
      <c r="N26" t="str">
        <v>001-SFT-001</v>
      </c>
      <c r="O26" t="str">
        <v>Software</v>
      </c>
      <c r="P26">
        <v>38.14</v>
      </c>
      <c r="Q26">
        <v>2.41</v>
      </c>
      <c r="R26">
        <v>0.43</v>
      </c>
    </row>
    <row r="27" spans="1:18" x14ac:dyDescent="0.3">
      <c r="A27">
        <v>26</v>
      </c>
      <c r="B27">
        <v>1</v>
      </c>
      <c r="C27" s="4">
        <v>43772</v>
      </c>
      <c r="D27" s="4" t="s">
        <v>8</v>
      </c>
      <c r="E27" t="s">
        <v>9</v>
      </c>
      <c r="F27" s="5">
        <v>72.319999999999993</v>
      </c>
      <c r="G27">
        <v>5.34</v>
      </c>
      <c r="H27" s="6">
        <v>0.59</v>
      </c>
      <c r="K27">
        <v>21</v>
      </c>
      <c r="L27">
        <v>6</v>
      </c>
      <c r="M27" s="4">
        <v>43619</v>
      </c>
      <c r="N27" t="str">
        <v>001-SFT-001</v>
      </c>
      <c r="O27" t="str">
        <v>Software</v>
      </c>
      <c r="P27">
        <v>39.14</v>
      </c>
      <c r="Q27">
        <v>2.15</v>
      </c>
      <c r="R27">
        <v>7.0000000000000007E-2</v>
      </c>
    </row>
    <row r="28" spans="1:18" x14ac:dyDescent="0.3">
      <c r="A28">
        <v>27</v>
      </c>
      <c r="B28">
        <v>4</v>
      </c>
      <c r="C28" s="4">
        <v>43802</v>
      </c>
      <c r="D28" s="4" t="s">
        <v>10</v>
      </c>
      <c r="E28" t="s">
        <v>11</v>
      </c>
      <c r="F28" s="5">
        <v>30.12</v>
      </c>
      <c r="G28">
        <v>2.7</v>
      </c>
      <c r="H28" s="6">
        <v>0.53</v>
      </c>
      <c r="K28">
        <v>22</v>
      </c>
      <c r="L28">
        <v>6</v>
      </c>
      <c r="M28" s="4">
        <v>43649</v>
      </c>
      <c r="N28" t="str">
        <v>001-CDC-003</v>
      </c>
      <c r="O28" t="str">
        <v>Hardware</v>
      </c>
      <c r="P28">
        <v>55.14</v>
      </c>
      <c r="Q28">
        <v>2.3199999999999998</v>
      </c>
      <c r="R28">
        <v>0.05</v>
      </c>
    </row>
    <row r="29" spans="1:18" x14ac:dyDescent="0.3">
      <c r="A29">
        <v>28</v>
      </c>
      <c r="B29">
        <v>1</v>
      </c>
      <c r="C29" s="4">
        <v>43833</v>
      </c>
      <c r="D29" s="4" t="s">
        <v>13</v>
      </c>
      <c r="E29" t="s">
        <v>11</v>
      </c>
      <c r="F29" s="5">
        <v>22.32</v>
      </c>
      <c r="G29">
        <v>1.23</v>
      </c>
      <c r="H29" s="6">
        <v>0.55000000000000004</v>
      </c>
      <c r="K29">
        <v>23</v>
      </c>
      <c r="L29">
        <v>1</v>
      </c>
      <c r="M29" s="4">
        <v>43680</v>
      </c>
      <c r="N29" t="str">
        <v>001-ABC-003</v>
      </c>
      <c r="O29" t="str">
        <v>Hardware</v>
      </c>
      <c r="P29">
        <v>22.32</v>
      </c>
      <c r="Q29">
        <v>2.0499999999999998</v>
      </c>
      <c r="R29">
        <v>0.39</v>
      </c>
    </row>
    <row r="30" spans="1:18" x14ac:dyDescent="0.3">
      <c r="A30">
        <v>29</v>
      </c>
      <c r="B30">
        <v>2</v>
      </c>
      <c r="C30" s="4">
        <v>43864</v>
      </c>
      <c r="D30" s="4" t="s">
        <v>8</v>
      </c>
      <c r="E30" t="s">
        <v>9</v>
      </c>
      <c r="F30" s="5">
        <v>38.14</v>
      </c>
      <c r="G30">
        <v>3.23</v>
      </c>
      <c r="H30" s="6">
        <v>0.51</v>
      </c>
      <c r="K30">
        <v>24</v>
      </c>
      <c r="L30">
        <v>2</v>
      </c>
      <c r="M30" s="4">
        <v>43711</v>
      </c>
      <c r="N30" t="str">
        <v>001-ABC-003</v>
      </c>
      <c r="O30" t="str">
        <v>Hardware</v>
      </c>
      <c r="P30">
        <v>21.32</v>
      </c>
      <c r="Q30">
        <v>3.21</v>
      </c>
      <c r="R30">
        <v>0.74</v>
      </c>
    </row>
    <row r="31" spans="1:18" x14ac:dyDescent="0.3">
      <c r="A31">
        <v>30</v>
      </c>
      <c r="B31">
        <v>6</v>
      </c>
      <c r="C31" s="4">
        <v>43893</v>
      </c>
      <c r="D31" s="4" t="s">
        <v>10</v>
      </c>
      <c r="E31" t="s">
        <v>11</v>
      </c>
      <c r="F31" s="5">
        <v>38.14</v>
      </c>
      <c r="G31">
        <v>2.42</v>
      </c>
      <c r="H31" s="6">
        <v>0.2</v>
      </c>
      <c r="K31">
        <v>25</v>
      </c>
      <c r="L31">
        <v>3</v>
      </c>
      <c r="M31" s="4">
        <v>43741</v>
      </c>
      <c r="N31" t="str">
        <v>001-SFT-001</v>
      </c>
      <c r="O31" t="str">
        <v>Software</v>
      </c>
      <c r="P31">
        <v>22.32</v>
      </c>
      <c r="Q31">
        <v>4.2300000000000004</v>
      </c>
      <c r="R31">
        <v>0.85</v>
      </c>
    </row>
    <row r="32" spans="1:18" x14ac:dyDescent="0.3">
      <c r="A32">
        <v>31</v>
      </c>
      <c r="B32">
        <v>2</v>
      </c>
      <c r="C32" s="4">
        <v>43924</v>
      </c>
      <c r="D32" s="4" t="s">
        <v>8</v>
      </c>
      <c r="E32" t="s">
        <v>9</v>
      </c>
      <c r="F32" s="5">
        <v>38.14</v>
      </c>
      <c r="G32">
        <v>2.33</v>
      </c>
      <c r="H32" s="6">
        <v>0.14000000000000001</v>
      </c>
      <c r="K32">
        <v>26</v>
      </c>
      <c r="L32">
        <v>1</v>
      </c>
      <c r="M32" s="4">
        <v>43772</v>
      </c>
      <c r="N32" t="str">
        <v>001-SFT-001</v>
      </c>
      <c r="O32" t="str">
        <v>Software</v>
      </c>
      <c r="P32">
        <v>72.319999999999993</v>
      </c>
      <c r="Q32">
        <v>5.34</v>
      </c>
      <c r="R32">
        <v>0.59</v>
      </c>
    </row>
    <row r="33" spans="1:18" x14ac:dyDescent="0.3">
      <c r="A33">
        <v>32</v>
      </c>
      <c r="B33">
        <v>3</v>
      </c>
      <c r="C33" s="4">
        <v>43954</v>
      </c>
      <c r="D33" s="4" t="s">
        <v>12</v>
      </c>
      <c r="E33" t="s">
        <v>11</v>
      </c>
      <c r="F33" s="5">
        <v>92.32</v>
      </c>
      <c r="G33">
        <v>3.64</v>
      </c>
      <c r="H33" s="6">
        <v>0.62</v>
      </c>
      <c r="K33">
        <v>27</v>
      </c>
      <c r="L33">
        <v>4</v>
      </c>
      <c r="M33" s="4">
        <v>43802</v>
      </c>
      <c r="N33" t="str">
        <v>001-CDC-001</v>
      </c>
      <c r="O33" t="str">
        <v>Hardware</v>
      </c>
      <c r="P33">
        <v>30.12</v>
      </c>
      <c r="Q33">
        <v>2.7</v>
      </c>
      <c r="R33">
        <v>0.53</v>
      </c>
    </row>
    <row r="34" spans="1:18" x14ac:dyDescent="0.3">
      <c r="A34">
        <v>33</v>
      </c>
      <c r="B34">
        <v>3</v>
      </c>
      <c r="C34" s="4">
        <v>43985</v>
      </c>
      <c r="D34" s="4" t="s">
        <v>8</v>
      </c>
      <c r="E34" t="s">
        <v>9</v>
      </c>
      <c r="F34" s="5">
        <v>92.32</v>
      </c>
      <c r="G34">
        <v>4.12</v>
      </c>
      <c r="H34" s="6">
        <v>0.57999999999999996</v>
      </c>
      <c r="K34">
        <v>28</v>
      </c>
      <c r="L34">
        <v>1</v>
      </c>
      <c r="M34" s="4">
        <v>43833</v>
      </c>
      <c r="N34" t="str">
        <v>001-CDC-002</v>
      </c>
      <c r="O34" t="str">
        <v>Hardware</v>
      </c>
      <c r="P34">
        <v>22.32</v>
      </c>
      <c r="Q34">
        <v>1.23</v>
      </c>
      <c r="R34">
        <v>0.55000000000000004</v>
      </c>
    </row>
    <row r="35" spans="1:18" x14ac:dyDescent="0.3">
      <c r="A35">
        <v>34</v>
      </c>
      <c r="B35">
        <v>6</v>
      </c>
      <c r="C35" s="4">
        <v>44015</v>
      </c>
      <c r="D35" s="4" t="s">
        <v>10</v>
      </c>
      <c r="E35" t="s">
        <v>11</v>
      </c>
      <c r="F35" s="5">
        <v>50</v>
      </c>
      <c r="G35">
        <v>1.23</v>
      </c>
      <c r="H35" s="6">
        <v>0.63</v>
      </c>
      <c r="K35">
        <v>29</v>
      </c>
      <c r="L35">
        <v>2</v>
      </c>
      <c r="M35" s="4">
        <v>43864</v>
      </c>
      <c r="N35" t="str">
        <v>001-SFT-001</v>
      </c>
      <c r="O35" t="str">
        <v>Software</v>
      </c>
      <c r="P35">
        <v>38.14</v>
      </c>
      <c r="Q35">
        <v>3.23</v>
      </c>
      <c r="R35">
        <v>0.51</v>
      </c>
    </row>
    <row r="36" spans="1:18" x14ac:dyDescent="0.3">
      <c r="A36">
        <v>35</v>
      </c>
      <c r="B36">
        <v>6</v>
      </c>
      <c r="C36" s="4">
        <v>44046</v>
      </c>
      <c r="D36" s="4" t="s">
        <v>13</v>
      </c>
      <c r="E36" t="s">
        <v>11</v>
      </c>
      <c r="F36" s="5">
        <v>100</v>
      </c>
      <c r="G36">
        <v>5.23</v>
      </c>
      <c r="H36" s="6">
        <v>0.39</v>
      </c>
      <c r="K36">
        <v>30</v>
      </c>
      <c r="L36">
        <v>6</v>
      </c>
      <c r="M36" s="4">
        <v>43893</v>
      </c>
      <c r="N36" t="str">
        <v>001-CDC-001</v>
      </c>
      <c r="O36" t="str">
        <v>Hardware</v>
      </c>
      <c r="P36">
        <v>38.14</v>
      </c>
      <c r="Q36">
        <v>2.42</v>
      </c>
      <c r="R36">
        <v>0.2</v>
      </c>
    </row>
    <row r="37" spans="1:18" x14ac:dyDescent="0.3">
      <c r="A37">
        <v>36</v>
      </c>
      <c r="B37">
        <v>5</v>
      </c>
      <c r="C37" s="4">
        <v>44077</v>
      </c>
      <c r="D37" s="4" t="s">
        <v>10</v>
      </c>
      <c r="E37" t="s">
        <v>11</v>
      </c>
      <c r="F37" s="5">
        <v>32.56</v>
      </c>
      <c r="G37">
        <v>3.21</v>
      </c>
      <c r="H37" s="6">
        <v>0.38</v>
      </c>
      <c r="K37">
        <v>31</v>
      </c>
      <c r="L37">
        <v>2</v>
      </c>
      <c r="M37" s="4">
        <v>43924</v>
      </c>
      <c r="N37" t="str">
        <v>001-SFT-001</v>
      </c>
      <c r="O37" t="str">
        <v>Software</v>
      </c>
      <c r="P37">
        <v>38.14</v>
      </c>
      <c r="Q37">
        <v>2.33</v>
      </c>
      <c r="R37">
        <v>0.14000000000000001</v>
      </c>
    </row>
    <row r="38" spans="1:18" x14ac:dyDescent="0.3">
      <c r="A38">
        <v>37</v>
      </c>
      <c r="B38">
        <v>2</v>
      </c>
      <c r="C38" s="4">
        <v>44107</v>
      </c>
      <c r="D38" s="4" t="s">
        <v>8</v>
      </c>
      <c r="E38" t="s">
        <v>9</v>
      </c>
      <c r="F38" s="5">
        <v>38.14</v>
      </c>
      <c r="G38">
        <v>2.41</v>
      </c>
      <c r="H38" s="6">
        <v>0.1</v>
      </c>
      <c r="K38">
        <v>32</v>
      </c>
      <c r="L38">
        <v>3</v>
      </c>
      <c r="M38" s="4">
        <v>43954</v>
      </c>
      <c r="N38" t="str">
        <v>001-ABC-003</v>
      </c>
      <c r="O38" t="str">
        <v>Hardware</v>
      </c>
      <c r="P38">
        <v>92.32</v>
      </c>
      <c r="Q38">
        <v>3.64</v>
      </c>
      <c r="R38">
        <v>0.62</v>
      </c>
    </row>
    <row r="39" spans="1:18" x14ac:dyDescent="0.3">
      <c r="A39">
        <v>38</v>
      </c>
      <c r="B39">
        <v>3</v>
      </c>
      <c r="C39" s="4">
        <v>44138</v>
      </c>
      <c r="D39" s="4" t="s">
        <v>8</v>
      </c>
      <c r="E39" t="s">
        <v>9</v>
      </c>
      <c r="F39" s="5">
        <v>39.14</v>
      </c>
      <c r="G39">
        <v>2.15</v>
      </c>
      <c r="H39" s="6">
        <v>0.95</v>
      </c>
      <c r="K39">
        <v>33</v>
      </c>
      <c r="L39">
        <v>3</v>
      </c>
      <c r="M39" s="4">
        <v>43985</v>
      </c>
      <c r="N39" t="str">
        <v>001-SFT-001</v>
      </c>
      <c r="O39" t="str">
        <v>Software</v>
      </c>
      <c r="P39">
        <v>92.32</v>
      </c>
      <c r="Q39">
        <v>4.12</v>
      </c>
      <c r="R39">
        <v>0.57999999999999996</v>
      </c>
    </row>
    <row r="40" spans="1:18" x14ac:dyDescent="0.3">
      <c r="A40">
        <v>39</v>
      </c>
      <c r="B40">
        <v>6</v>
      </c>
      <c r="C40" s="4">
        <v>44168</v>
      </c>
      <c r="D40" s="4" t="s">
        <v>14</v>
      </c>
      <c r="E40" t="s">
        <v>11</v>
      </c>
      <c r="F40" s="5">
        <v>55.14</v>
      </c>
      <c r="G40">
        <v>2.3199999999999998</v>
      </c>
      <c r="H40" s="6">
        <v>0.56999999999999995</v>
      </c>
      <c r="K40">
        <v>34</v>
      </c>
      <c r="L40">
        <v>6</v>
      </c>
      <c r="M40" s="4">
        <v>44015</v>
      </c>
      <c r="N40" t="str">
        <v>001-CDC-001</v>
      </c>
      <c r="O40" t="str">
        <v>Hardware</v>
      </c>
      <c r="P40">
        <v>50</v>
      </c>
      <c r="Q40">
        <v>1.23</v>
      </c>
      <c r="R40">
        <v>0.63</v>
      </c>
    </row>
    <row r="41" spans="1:18" x14ac:dyDescent="0.3">
      <c r="A41">
        <v>40</v>
      </c>
      <c r="B41">
        <v>5</v>
      </c>
      <c r="C41" s="4">
        <v>44199</v>
      </c>
      <c r="D41" s="4" t="s">
        <v>12</v>
      </c>
      <c r="E41" t="s">
        <v>11</v>
      </c>
      <c r="F41" s="5">
        <v>22.32</v>
      </c>
      <c r="G41">
        <v>2.0499999999999998</v>
      </c>
      <c r="H41" s="6">
        <v>0.93</v>
      </c>
      <c r="K41">
        <v>35</v>
      </c>
      <c r="L41">
        <v>6</v>
      </c>
      <c r="M41" s="4">
        <v>44046</v>
      </c>
      <c r="N41" t="str">
        <v>001-CDC-002</v>
      </c>
      <c r="O41" t="str">
        <v>Hardware</v>
      </c>
      <c r="P41">
        <v>100</v>
      </c>
      <c r="Q41">
        <v>5.23</v>
      </c>
      <c r="R41">
        <v>0.39</v>
      </c>
    </row>
    <row r="42" spans="1:18" x14ac:dyDescent="0.3">
      <c r="A42">
        <v>41</v>
      </c>
      <c r="B42">
        <v>5</v>
      </c>
      <c r="C42" s="4">
        <v>44230</v>
      </c>
      <c r="D42" s="4" t="s">
        <v>12</v>
      </c>
      <c r="E42" t="s">
        <v>11</v>
      </c>
      <c r="F42" s="5">
        <v>21.32</v>
      </c>
      <c r="G42">
        <v>3.21</v>
      </c>
      <c r="H42" s="6">
        <v>0.79</v>
      </c>
      <c r="K42">
        <v>36</v>
      </c>
      <c r="L42">
        <v>5</v>
      </c>
      <c r="M42" s="4">
        <v>44077</v>
      </c>
      <c r="N42" t="str">
        <v>001-CDC-001</v>
      </c>
      <c r="O42" t="str">
        <v>Hardware</v>
      </c>
      <c r="P42">
        <v>32.56</v>
      </c>
      <c r="Q42">
        <v>3.21</v>
      </c>
      <c r="R42">
        <v>0.38</v>
      </c>
    </row>
    <row r="43" spans="1:18" x14ac:dyDescent="0.3">
      <c r="A43">
        <v>42</v>
      </c>
      <c r="B43">
        <v>1</v>
      </c>
      <c r="C43" s="4">
        <v>44258</v>
      </c>
      <c r="D43" s="4" t="s">
        <v>8</v>
      </c>
      <c r="E43" t="s">
        <v>9</v>
      </c>
      <c r="F43" s="5">
        <v>22.32</v>
      </c>
      <c r="G43">
        <v>4.2300000000000004</v>
      </c>
      <c r="H43" s="6">
        <v>0.64</v>
      </c>
      <c r="K43">
        <v>37</v>
      </c>
      <c r="L43">
        <v>2</v>
      </c>
      <c r="M43" s="4">
        <v>44107</v>
      </c>
      <c r="N43" t="str">
        <v>001-SFT-001</v>
      </c>
      <c r="O43" t="str">
        <v>Software</v>
      </c>
      <c r="P43">
        <v>38.14</v>
      </c>
      <c r="Q43">
        <v>2.41</v>
      </c>
      <c r="R43">
        <v>0.1</v>
      </c>
    </row>
    <row r="44" spans="1:18" x14ac:dyDescent="0.3">
      <c r="A44">
        <v>43</v>
      </c>
      <c r="B44">
        <v>5</v>
      </c>
      <c r="C44" s="4">
        <v>44289</v>
      </c>
      <c r="D44" s="4" t="s">
        <v>8</v>
      </c>
      <c r="E44" t="s">
        <v>9</v>
      </c>
      <c r="F44" s="5">
        <v>72.319999999999993</v>
      </c>
      <c r="G44">
        <v>5.34</v>
      </c>
      <c r="H44" s="6">
        <v>0.19</v>
      </c>
      <c r="K44">
        <v>38</v>
      </c>
      <c r="L44">
        <v>3</v>
      </c>
      <c r="M44" s="4">
        <v>44138</v>
      </c>
      <c r="N44" t="str">
        <v>001-SFT-001</v>
      </c>
      <c r="O44" t="str">
        <v>Software</v>
      </c>
      <c r="P44">
        <v>39.14</v>
      </c>
      <c r="Q44">
        <v>2.15</v>
      </c>
      <c r="R44">
        <v>0.95</v>
      </c>
    </row>
    <row r="45" spans="1:18" x14ac:dyDescent="0.3">
      <c r="A45">
        <v>44</v>
      </c>
      <c r="B45">
        <v>1</v>
      </c>
      <c r="C45" s="4">
        <v>44319</v>
      </c>
      <c r="D45" s="4" t="s">
        <v>10</v>
      </c>
      <c r="E45" t="s">
        <v>11</v>
      </c>
      <c r="F45" s="5">
        <v>30.12</v>
      </c>
      <c r="G45">
        <v>2.7</v>
      </c>
      <c r="H45" s="6">
        <v>0.12</v>
      </c>
      <c r="K45">
        <v>39</v>
      </c>
      <c r="L45">
        <v>6</v>
      </c>
      <c r="M45" s="4">
        <v>44168</v>
      </c>
      <c r="N45" t="str">
        <v>001-CDC-003</v>
      </c>
      <c r="O45" t="str">
        <v>Hardware</v>
      </c>
      <c r="P45">
        <v>55.14</v>
      </c>
      <c r="Q45">
        <v>2.3199999999999998</v>
      </c>
      <c r="R45">
        <v>0.56999999999999995</v>
      </c>
    </row>
    <row r="46" spans="1:18" x14ac:dyDescent="0.3">
      <c r="A46">
        <v>45</v>
      </c>
      <c r="B46">
        <v>6</v>
      </c>
      <c r="C46" s="4">
        <v>44350</v>
      </c>
      <c r="D46" s="4" t="s">
        <v>13</v>
      </c>
      <c r="E46" t="s">
        <v>11</v>
      </c>
      <c r="F46" s="5">
        <v>22.32</v>
      </c>
      <c r="G46">
        <v>1.23</v>
      </c>
      <c r="H46" s="6">
        <v>0.65</v>
      </c>
      <c r="K46">
        <v>40</v>
      </c>
      <c r="L46">
        <v>5</v>
      </c>
      <c r="M46" s="4">
        <v>44199</v>
      </c>
      <c r="N46" t="str">
        <v>001-ABC-003</v>
      </c>
      <c r="O46" t="str">
        <v>Hardware</v>
      </c>
      <c r="P46">
        <v>22.32</v>
      </c>
      <c r="Q46">
        <v>2.0499999999999998</v>
      </c>
      <c r="R46">
        <v>0.93</v>
      </c>
    </row>
    <row r="47" spans="1:18" x14ac:dyDescent="0.3">
      <c r="A47">
        <v>46</v>
      </c>
      <c r="B47">
        <v>1</v>
      </c>
      <c r="C47" s="4">
        <v>44380</v>
      </c>
      <c r="D47" s="4" t="s">
        <v>8</v>
      </c>
      <c r="E47" t="s">
        <v>9</v>
      </c>
      <c r="F47" s="5">
        <v>38.14</v>
      </c>
      <c r="G47">
        <v>3.23</v>
      </c>
      <c r="H47" s="6">
        <v>0.87</v>
      </c>
      <c r="K47">
        <v>41</v>
      </c>
      <c r="L47">
        <v>5</v>
      </c>
      <c r="M47" s="4">
        <v>44230</v>
      </c>
      <c r="N47" t="str">
        <v>001-ABC-003</v>
      </c>
      <c r="O47" t="str">
        <v>Hardware</v>
      </c>
      <c r="P47">
        <v>21.32</v>
      </c>
      <c r="Q47">
        <v>3.21</v>
      </c>
      <c r="R47">
        <v>0.79</v>
      </c>
    </row>
    <row r="48" spans="1:18" x14ac:dyDescent="0.3">
      <c r="A48">
        <v>46</v>
      </c>
      <c r="B48">
        <v>2</v>
      </c>
      <c r="C48" s="4">
        <v>44411</v>
      </c>
      <c r="D48" s="4" t="s">
        <v>10</v>
      </c>
      <c r="E48" t="s">
        <v>11</v>
      </c>
      <c r="F48" s="5">
        <v>38.14</v>
      </c>
      <c r="G48">
        <v>2.42</v>
      </c>
      <c r="H48" s="6">
        <v>0.65</v>
      </c>
      <c r="K48">
        <v>42</v>
      </c>
      <c r="L48">
        <v>1</v>
      </c>
      <c r="M48" s="4">
        <v>44258</v>
      </c>
      <c r="N48" t="str">
        <v>001-SFT-001</v>
      </c>
      <c r="O48" t="str">
        <v>Software</v>
      </c>
      <c r="P48">
        <v>22.32</v>
      </c>
      <c r="Q48">
        <v>4.2300000000000004</v>
      </c>
      <c r="R48">
        <v>0.64</v>
      </c>
    </row>
    <row r="49" spans="1:18" x14ac:dyDescent="0.3">
      <c r="A49">
        <v>48</v>
      </c>
      <c r="B49">
        <v>6</v>
      </c>
      <c r="C49" s="4">
        <v>44442</v>
      </c>
      <c r="D49" s="4" t="s">
        <v>8</v>
      </c>
      <c r="E49" t="s">
        <v>9</v>
      </c>
      <c r="F49" s="5">
        <v>38.14</v>
      </c>
      <c r="G49">
        <v>2.33</v>
      </c>
      <c r="H49" s="6">
        <v>0.51</v>
      </c>
      <c r="K49">
        <v>43</v>
      </c>
      <c r="L49">
        <v>5</v>
      </c>
      <c r="M49" s="4">
        <v>44289</v>
      </c>
      <c r="N49" t="str">
        <v>001-SFT-001</v>
      </c>
      <c r="O49" t="str">
        <v>Software</v>
      </c>
      <c r="P49">
        <v>72.319999999999993</v>
      </c>
      <c r="Q49">
        <v>5.34</v>
      </c>
      <c r="R49">
        <v>0.19</v>
      </c>
    </row>
    <row r="50" spans="1:18" x14ac:dyDescent="0.3">
      <c r="A50">
        <v>49</v>
      </c>
      <c r="B50">
        <v>2</v>
      </c>
      <c r="C50" s="4">
        <v>44472</v>
      </c>
      <c r="D50" s="4" t="s">
        <v>12</v>
      </c>
      <c r="E50" t="s">
        <v>11</v>
      </c>
      <c r="F50" s="5">
        <v>92.32</v>
      </c>
      <c r="G50">
        <v>3.64</v>
      </c>
      <c r="H50" s="6">
        <v>0.86</v>
      </c>
      <c r="K50">
        <v>44</v>
      </c>
      <c r="L50">
        <v>1</v>
      </c>
      <c r="M50" s="4">
        <v>44319</v>
      </c>
      <c r="N50" t="str">
        <v>001-CDC-001</v>
      </c>
      <c r="O50" t="str">
        <v>Hardware</v>
      </c>
      <c r="P50">
        <v>30.12</v>
      </c>
      <c r="Q50">
        <v>2.7</v>
      </c>
      <c r="R50">
        <v>0.12</v>
      </c>
    </row>
    <row r="51" spans="1:18" x14ac:dyDescent="0.3">
      <c r="A51">
        <v>50</v>
      </c>
      <c r="B51">
        <v>5</v>
      </c>
      <c r="C51" s="4">
        <v>44503</v>
      </c>
      <c r="D51" s="4" t="s">
        <v>8</v>
      </c>
      <c r="E51" t="s">
        <v>9</v>
      </c>
      <c r="F51" s="5">
        <v>92.32</v>
      </c>
      <c r="G51">
        <v>4.12</v>
      </c>
      <c r="H51" s="6">
        <v>0.59</v>
      </c>
      <c r="K51">
        <v>45</v>
      </c>
      <c r="L51">
        <v>6</v>
      </c>
      <c r="M51" s="4">
        <v>44350</v>
      </c>
      <c r="N51" t="str">
        <v>001-CDC-002</v>
      </c>
      <c r="O51" t="str">
        <v>Hardware</v>
      </c>
      <c r="P51">
        <v>22.32</v>
      </c>
      <c r="Q51">
        <v>1.23</v>
      </c>
      <c r="R51">
        <v>0.65</v>
      </c>
    </row>
    <row r="52" spans="1:18" x14ac:dyDescent="0.3">
      <c r="A52">
        <v>51</v>
      </c>
      <c r="B52">
        <v>4</v>
      </c>
      <c r="C52" s="4">
        <v>44533</v>
      </c>
      <c r="D52" s="4" t="s">
        <v>12</v>
      </c>
      <c r="E52" t="s">
        <v>11</v>
      </c>
      <c r="F52" s="5">
        <v>50</v>
      </c>
      <c r="G52">
        <v>1.23</v>
      </c>
      <c r="H52" s="6">
        <v>0.75</v>
      </c>
      <c r="K52">
        <v>46</v>
      </c>
      <c r="L52">
        <v>1</v>
      </c>
      <c r="M52" s="4">
        <v>44380</v>
      </c>
      <c r="N52" t="str">
        <v>001-SFT-001</v>
      </c>
      <c r="O52" t="str">
        <v>Software</v>
      </c>
      <c r="P52">
        <v>38.14</v>
      </c>
      <c r="Q52">
        <v>3.23</v>
      </c>
      <c r="R52">
        <v>0.87</v>
      </c>
    </row>
    <row r="53" spans="1:18" x14ac:dyDescent="0.3">
      <c r="A53">
        <v>52</v>
      </c>
      <c r="B53">
        <v>6</v>
      </c>
      <c r="C53" s="4">
        <v>44564</v>
      </c>
      <c r="D53" s="4" t="s">
        <v>14</v>
      </c>
      <c r="E53" t="s">
        <v>11</v>
      </c>
      <c r="F53" s="5">
        <v>35.89</v>
      </c>
      <c r="G53">
        <v>0.57999999999999996</v>
      </c>
      <c r="H53" s="6">
        <v>0.93</v>
      </c>
      <c r="K53">
        <v>46</v>
      </c>
      <c r="L53">
        <v>2</v>
      </c>
      <c r="M53" s="4">
        <v>44411</v>
      </c>
      <c r="N53" t="str">
        <v>001-CDC-001</v>
      </c>
      <c r="O53" t="str">
        <v>Hardware</v>
      </c>
      <c r="P53">
        <v>38.14</v>
      </c>
      <c r="Q53">
        <v>2.42</v>
      </c>
      <c r="R53">
        <v>0.65</v>
      </c>
    </row>
    <row r="54" spans="1:18" x14ac:dyDescent="0.3">
      <c r="A54">
        <v>53</v>
      </c>
      <c r="B54">
        <v>5</v>
      </c>
      <c r="C54" s="4">
        <v>44595</v>
      </c>
      <c r="D54" s="4" t="s">
        <v>8</v>
      </c>
      <c r="E54" t="s">
        <v>9</v>
      </c>
      <c r="F54" s="5">
        <v>14.73</v>
      </c>
      <c r="G54">
        <v>5.34</v>
      </c>
      <c r="H54" s="6">
        <v>0.2</v>
      </c>
      <c r="K54">
        <v>48</v>
      </c>
      <c r="L54">
        <v>6</v>
      </c>
      <c r="M54" s="4">
        <v>44442</v>
      </c>
      <c r="N54" t="str">
        <v>001-SFT-001</v>
      </c>
      <c r="O54" t="str">
        <v>Software</v>
      </c>
      <c r="P54">
        <v>38.14</v>
      </c>
      <c r="Q54">
        <v>2.33</v>
      </c>
      <c r="R54">
        <v>0.51</v>
      </c>
    </row>
    <row r="55" spans="1:18" x14ac:dyDescent="0.3">
      <c r="A55">
        <v>54</v>
      </c>
      <c r="B55">
        <v>4</v>
      </c>
      <c r="C55" s="4">
        <v>44623</v>
      </c>
      <c r="D55" s="4" t="s">
        <v>12</v>
      </c>
      <c r="E55" t="s">
        <v>11</v>
      </c>
      <c r="F55" s="5">
        <v>10</v>
      </c>
      <c r="G55">
        <v>2.7</v>
      </c>
      <c r="H55" s="6">
        <v>0.8</v>
      </c>
      <c r="K55">
        <v>49</v>
      </c>
      <c r="L55">
        <v>2</v>
      </c>
      <c r="M55" s="4">
        <v>44472</v>
      </c>
      <c r="N55" t="str">
        <v>001-ABC-003</v>
      </c>
      <c r="O55" t="str">
        <v>Hardware</v>
      </c>
      <c r="P55">
        <v>92.32</v>
      </c>
      <c r="Q55">
        <v>3.64</v>
      </c>
      <c r="R55">
        <v>0.86</v>
      </c>
    </row>
    <row r="56" spans="1:18" x14ac:dyDescent="0.3">
      <c r="A56">
        <v>55</v>
      </c>
      <c r="B56">
        <v>6</v>
      </c>
      <c r="C56" s="4">
        <v>44654</v>
      </c>
      <c r="D56" s="4" t="s">
        <v>13</v>
      </c>
      <c r="E56" t="s">
        <v>11</v>
      </c>
      <c r="F56" s="5">
        <v>32.56</v>
      </c>
      <c r="G56">
        <v>1.23</v>
      </c>
      <c r="H56" s="6">
        <v>0.49</v>
      </c>
      <c r="K56">
        <v>50</v>
      </c>
      <c r="L56">
        <v>5</v>
      </c>
      <c r="M56" s="4">
        <v>44503</v>
      </c>
      <c r="N56" t="str">
        <v>001-SFT-001</v>
      </c>
      <c r="O56" t="str">
        <v>Software</v>
      </c>
      <c r="P56">
        <v>92.32</v>
      </c>
      <c r="Q56">
        <v>4.12</v>
      </c>
      <c r="R56">
        <v>0.59</v>
      </c>
    </row>
    <row r="57" spans="1:18" x14ac:dyDescent="0.3">
      <c r="A57">
        <v>56</v>
      </c>
      <c r="B57">
        <v>4</v>
      </c>
      <c r="C57" s="4">
        <v>44684</v>
      </c>
      <c r="D57" s="4" t="s">
        <v>8</v>
      </c>
      <c r="E57" t="s">
        <v>9</v>
      </c>
      <c r="F57" s="5">
        <v>38.14</v>
      </c>
      <c r="G57">
        <v>3.23</v>
      </c>
      <c r="H57" s="6">
        <v>0.79</v>
      </c>
      <c r="K57">
        <v>51</v>
      </c>
      <c r="L57">
        <v>4</v>
      </c>
      <c r="M57" s="4">
        <v>44533</v>
      </c>
      <c r="N57" t="str">
        <v>001-ABC-003</v>
      </c>
      <c r="O57" t="str">
        <v>Hardware</v>
      </c>
      <c r="P57">
        <v>50</v>
      </c>
      <c r="Q57">
        <v>1.23</v>
      </c>
      <c r="R57">
        <v>0.75</v>
      </c>
    </row>
    <row r="58" spans="1:18" x14ac:dyDescent="0.3">
      <c r="A58">
        <v>57</v>
      </c>
      <c r="B58">
        <v>6</v>
      </c>
      <c r="C58" s="4">
        <v>44715</v>
      </c>
      <c r="D58" s="4" t="s">
        <v>10</v>
      </c>
      <c r="E58" t="s">
        <v>11</v>
      </c>
      <c r="F58" s="5">
        <v>39.14</v>
      </c>
      <c r="G58">
        <v>2.42</v>
      </c>
      <c r="H58" s="6">
        <v>0.9</v>
      </c>
      <c r="K58">
        <v>52</v>
      </c>
      <c r="L58">
        <v>6</v>
      </c>
      <c r="M58" s="4">
        <v>44564</v>
      </c>
      <c r="N58" t="str">
        <v>001-CDC-003</v>
      </c>
      <c r="O58" t="str">
        <v>Hardware</v>
      </c>
      <c r="P58">
        <v>35.89</v>
      </c>
      <c r="Q58">
        <v>0.57999999999999996</v>
      </c>
      <c r="R58">
        <v>0.93</v>
      </c>
    </row>
    <row r="59" spans="1:18" x14ac:dyDescent="0.3">
      <c r="A59">
        <v>58</v>
      </c>
      <c r="B59">
        <v>5</v>
      </c>
      <c r="C59" s="4">
        <v>44745</v>
      </c>
      <c r="D59" s="4" t="s">
        <v>13</v>
      </c>
      <c r="E59" t="s">
        <v>11</v>
      </c>
      <c r="F59" s="5">
        <v>55.14</v>
      </c>
      <c r="G59">
        <v>2.33</v>
      </c>
      <c r="H59" s="6">
        <v>0.94</v>
      </c>
      <c r="K59">
        <v>53</v>
      </c>
      <c r="L59">
        <v>5</v>
      </c>
      <c r="M59" s="4">
        <v>44595</v>
      </c>
      <c r="N59" t="str">
        <v>001-SFT-001</v>
      </c>
      <c r="O59" t="str">
        <v>Software</v>
      </c>
      <c r="P59">
        <v>14.73</v>
      </c>
      <c r="Q59">
        <v>5.34</v>
      </c>
      <c r="R59">
        <v>0.2</v>
      </c>
    </row>
    <row r="60" spans="1:18" x14ac:dyDescent="0.3">
      <c r="A60">
        <v>59</v>
      </c>
      <c r="B60">
        <v>1</v>
      </c>
      <c r="C60" s="4">
        <v>44776</v>
      </c>
      <c r="D60" s="4" t="s">
        <v>8</v>
      </c>
      <c r="E60" t="s">
        <v>9</v>
      </c>
      <c r="F60" s="5">
        <v>22.32</v>
      </c>
      <c r="G60">
        <v>3.64</v>
      </c>
      <c r="H60" s="6">
        <v>0.51</v>
      </c>
      <c r="K60">
        <v>54</v>
      </c>
      <c r="L60">
        <v>4</v>
      </c>
      <c r="M60" s="4">
        <v>44623</v>
      </c>
      <c r="N60" t="str">
        <v>001-ABC-003</v>
      </c>
      <c r="O60" t="str">
        <v>Hardware</v>
      </c>
      <c r="P60">
        <v>10</v>
      </c>
      <c r="Q60">
        <v>2.7</v>
      </c>
      <c r="R60">
        <v>0.8</v>
      </c>
    </row>
    <row r="61" spans="1:18" x14ac:dyDescent="0.3">
      <c r="A61">
        <v>60</v>
      </c>
      <c r="B61">
        <v>1</v>
      </c>
      <c r="C61" s="4">
        <v>44807</v>
      </c>
      <c r="D61" s="4" t="s">
        <v>12</v>
      </c>
      <c r="E61" t="s">
        <v>11</v>
      </c>
      <c r="F61" s="5">
        <v>21.32</v>
      </c>
      <c r="G61">
        <v>4.12</v>
      </c>
      <c r="H61" s="6">
        <v>0.32</v>
      </c>
      <c r="K61">
        <v>55</v>
      </c>
      <c r="L61">
        <v>6</v>
      </c>
      <c r="M61" s="4">
        <v>44654</v>
      </c>
      <c r="N61" t="str">
        <v>001-CDC-002</v>
      </c>
      <c r="O61" t="str">
        <v>Hardware</v>
      </c>
      <c r="P61">
        <v>32.56</v>
      </c>
      <c r="Q61">
        <v>1.23</v>
      </c>
      <c r="R61">
        <v>0.49</v>
      </c>
    </row>
    <row r="62" spans="1:18" x14ac:dyDescent="0.3">
      <c r="A62">
        <v>61</v>
      </c>
      <c r="B62">
        <v>2</v>
      </c>
      <c r="C62" s="4">
        <v>44837</v>
      </c>
      <c r="D62" s="4" t="s">
        <v>13</v>
      </c>
      <c r="E62" t="s">
        <v>11</v>
      </c>
      <c r="F62" s="5">
        <v>22.32</v>
      </c>
      <c r="G62">
        <v>1.23</v>
      </c>
      <c r="H62" s="6">
        <v>0.05</v>
      </c>
      <c r="K62">
        <v>56</v>
      </c>
      <c r="L62">
        <v>4</v>
      </c>
      <c r="M62" s="4">
        <v>44684</v>
      </c>
      <c r="N62" t="str">
        <v>001-SFT-001</v>
      </c>
      <c r="O62" t="str">
        <v>Software</v>
      </c>
      <c r="P62">
        <v>38.14</v>
      </c>
      <c r="Q62">
        <v>3.23</v>
      </c>
      <c r="R62">
        <v>0.79</v>
      </c>
    </row>
    <row r="63" spans="1:18" x14ac:dyDescent="0.3">
      <c r="A63">
        <v>62</v>
      </c>
      <c r="B63">
        <v>3</v>
      </c>
      <c r="C63" s="4">
        <v>44868</v>
      </c>
      <c r="D63" s="4" t="s">
        <v>8</v>
      </c>
      <c r="E63" t="s">
        <v>9</v>
      </c>
      <c r="F63" s="5">
        <v>72.319999999999993</v>
      </c>
      <c r="G63">
        <v>0.57999999999999996</v>
      </c>
      <c r="H63" s="6">
        <v>0.4</v>
      </c>
      <c r="K63">
        <v>57</v>
      </c>
      <c r="L63">
        <v>6</v>
      </c>
      <c r="M63" s="4">
        <v>44715</v>
      </c>
      <c r="N63" t="str">
        <v>001-CDC-001</v>
      </c>
      <c r="O63" t="str">
        <v>Hardware</v>
      </c>
      <c r="P63">
        <v>39.14</v>
      </c>
      <c r="Q63">
        <v>2.42</v>
      </c>
      <c r="R63">
        <v>0.9</v>
      </c>
    </row>
    <row r="64" spans="1:18" x14ac:dyDescent="0.3">
      <c r="A64">
        <v>63</v>
      </c>
      <c r="B64">
        <v>5</v>
      </c>
      <c r="C64" s="4">
        <v>44898</v>
      </c>
      <c r="D64" s="4" t="s">
        <v>10</v>
      </c>
      <c r="E64" t="s">
        <v>11</v>
      </c>
      <c r="F64" s="5">
        <v>30.12</v>
      </c>
      <c r="G64">
        <v>2.0499999999999998</v>
      </c>
      <c r="H64" s="6">
        <v>0.91</v>
      </c>
      <c r="K64">
        <v>58</v>
      </c>
      <c r="L64">
        <v>5</v>
      </c>
      <c r="M64" s="4">
        <v>44745</v>
      </c>
      <c r="N64" t="str">
        <v>001-CDC-002</v>
      </c>
      <c r="O64" t="str">
        <v>Hardware</v>
      </c>
      <c r="P64">
        <v>55.14</v>
      </c>
      <c r="Q64">
        <v>2.33</v>
      </c>
      <c r="R64">
        <v>0.94</v>
      </c>
    </row>
    <row r="65" spans="1:18" x14ac:dyDescent="0.3">
      <c r="A65">
        <v>64</v>
      </c>
      <c r="B65">
        <v>2</v>
      </c>
      <c r="C65" s="4">
        <v>44929</v>
      </c>
      <c r="D65" s="4" t="s">
        <v>10</v>
      </c>
      <c r="E65" t="s">
        <v>11</v>
      </c>
      <c r="F65" s="5">
        <v>22.32</v>
      </c>
      <c r="G65">
        <v>3.21</v>
      </c>
      <c r="H65" s="6">
        <v>0.45</v>
      </c>
      <c r="K65">
        <v>59</v>
      </c>
      <c r="L65">
        <v>1</v>
      </c>
      <c r="M65" s="4">
        <v>44776</v>
      </c>
      <c r="N65" t="str">
        <v>001-SFT-001</v>
      </c>
      <c r="O65" t="str">
        <v>Software</v>
      </c>
      <c r="P65">
        <v>22.32</v>
      </c>
      <c r="Q65">
        <v>3.64</v>
      </c>
      <c r="R65">
        <v>0.51</v>
      </c>
    </row>
    <row r="66" spans="1:18" x14ac:dyDescent="0.3">
      <c r="A66">
        <v>65</v>
      </c>
      <c r="B66">
        <v>2</v>
      </c>
      <c r="C66" s="4">
        <v>44960</v>
      </c>
      <c r="D66" s="4" t="s">
        <v>8</v>
      </c>
      <c r="E66" t="s">
        <v>9</v>
      </c>
      <c r="F66" s="5">
        <v>38.14</v>
      </c>
      <c r="G66">
        <v>4.2300000000000004</v>
      </c>
      <c r="H66" s="6">
        <v>0.56999999999999995</v>
      </c>
      <c r="K66">
        <v>60</v>
      </c>
      <c r="L66">
        <v>1</v>
      </c>
      <c r="M66" s="4">
        <v>44807</v>
      </c>
      <c r="N66" t="str">
        <v>001-ABC-003</v>
      </c>
      <c r="O66" t="str">
        <v>Hardware</v>
      </c>
      <c r="P66">
        <v>21.32</v>
      </c>
      <c r="Q66">
        <v>4.12</v>
      </c>
      <c r="R66">
        <v>0.32</v>
      </c>
    </row>
    <row r="67" spans="1:18" x14ac:dyDescent="0.3">
      <c r="A67">
        <v>66</v>
      </c>
      <c r="B67">
        <v>1</v>
      </c>
      <c r="C67" s="4">
        <v>44988</v>
      </c>
      <c r="D67" s="4" t="s">
        <v>12</v>
      </c>
      <c r="E67" t="s">
        <v>11</v>
      </c>
      <c r="F67" s="5">
        <v>38.14</v>
      </c>
      <c r="G67">
        <v>5.34</v>
      </c>
      <c r="H67" s="6">
        <v>0.1</v>
      </c>
      <c r="K67">
        <v>61</v>
      </c>
      <c r="L67">
        <v>2</v>
      </c>
      <c r="M67" s="4">
        <v>44837</v>
      </c>
      <c r="N67" t="str">
        <v>001-CDC-002</v>
      </c>
      <c r="O67" t="str">
        <v>Hardware</v>
      </c>
      <c r="P67">
        <v>22.32</v>
      </c>
      <c r="Q67">
        <v>1.23</v>
      </c>
      <c r="R67">
        <v>0.05</v>
      </c>
    </row>
    <row r="68" spans="1:18" x14ac:dyDescent="0.3">
      <c r="A68">
        <v>67</v>
      </c>
      <c r="B68">
        <v>2</v>
      </c>
      <c r="C68" s="4">
        <v>45019</v>
      </c>
      <c r="D68" s="4" t="s">
        <v>13</v>
      </c>
      <c r="E68" t="s">
        <v>11</v>
      </c>
      <c r="F68" s="5">
        <v>38.14</v>
      </c>
      <c r="G68">
        <v>2.7</v>
      </c>
      <c r="H68" s="6">
        <v>0.72</v>
      </c>
      <c r="K68">
        <v>62</v>
      </c>
      <c r="L68">
        <v>3</v>
      </c>
      <c r="M68" s="4">
        <v>44868</v>
      </c>
      <c r="N68" t="str">
        <v>001-SFT-001</v>
      </c>
      <c r="O68" t="str">
        <v>Software</v>
      </c>
      <c r="P68">
        <v>72.319999999999993</v>
      </c>
      <c r="Q68">
        <v>0.57999999999999996</v>
      </c>
      <c r="R68">
        <v>0.4</v>
      </c>
    </row>
    <row r="69" spans="1:18" x14ac:dyDescent="0.3">
      <c r="A69">
        <v>68</v>
      </c>
      <c r="B69">
        <v>2</v>
      </c>
      <c r="C69" s="4">
        <v>45049</v>
      </c>
      <c r="D69" s="4" t="s">
        <v>8</v>
      </c>
      <c r="E69" t="s">
        <v>9</v>
      </c>
      <c r="F69" s="5">
        <v>92.32</v>
      </c>
      <c r="G69">
        <v>1.23</v>
      </c>
      <c r="H69" s="6">
        <v>0.46</v>
      </c>
      <c r="K69">
        <v>63</v>
      </c>
      <c r="L69">
        <v>5</v>
      </c>
      <c r="M69" s="4">
        <v>44898</v>
      </c>
      <c r="N69" t="str">
        <v>001-CDC-001</v>
      </c>
      <c r="O69" t="str">
        <v>Hardware</v>
      </c>
      <c r="P69">
        <v>30.12</v>
      </c>
      <c r="Q69">
        <v>2.0499999999999998</v>
      </c>
      <c r="R69">
        <v>0.91</v>
      </c>
    </row>
    <row r="70" spans="1:18" x14ac:dyDescent="0.3">
      <c r="A70">
        <v>69</v>
      </c>
      <c r="B70">
        <v>1</v>
      </c>
      <c r="C70" s="4">
        <v>45080</v>
      </c>
      <c r="D70" s="4" t="s">
        <v>10</v>
      </c>
      <c r="E70" t="s">
        <v>11</v>
      </c>
      <c r="F70" s="5">
        <v>92.32</v>
      </c>
      <c r="G70">
        <v>3.23</v>
      </c>
      <c r="H70" s="6">
        <v>0.5</v>
      </c>
      <c r="K70">
        <v>64</v>
      </c>
      <c r="L70">
        <v>2</v>
      </c>
      <c r="M70" s="4">
        <v>44929</v>
      </c>
      <c r="N70" t="str">
        <v>001-CDC-001</v>
      </c>
      <c r="O70" t="str">
        <v>Hardware</v>
      </c>
      <c r="P70">
        <v>22.32</v>
      </c>
      <c r="Q70">
        <v>3.21</v>
      </c>
      <c r="R70">
        <v>0.45</v>
      </c>
    </row>
    <row r="71" spans="1:18" x14ac:dyDescent="0.3">
      <c r="A71">
        <v>70</v>
      </c>
      <c r="B71">
        <v>4</v>
      </c>
      <c r="C71" s="4">
        <v>45110</v>
      </c>
      <c r="D71" s="4" t="s">
        <v>10</v>
      </c>
      <c r="E71" t="s">
        <v>11</v>
      </c>
      <c r="F71" s="5">
        <v>50</v>
      </c>
      <c r="G71">
        <v>2.15</v>
      </c>
      <c r="H71" s="6">
        <v>0.67</v>
      </c>
      <c r="K71">
        <v>65</v>
      </c>
      <c r="L71">
        <v>2</v>
      </c>
      <c r="M71" s="4">
        <v>44960</v>
      </c>
      <c r="N71" t="str">
        <v>001-SFT-001</v>
      </c>
      <c r="O71" t="str">
        <v>Software</v>
      </c>
      <c r="P71">
        <v>38.14</v>
      </c>
      <c r="Q71">
        <v>4.2300000000000004</v>
      </c>
      <c r="R71">
        <v>0.56999999999999995</v>
      </c>
    </row>
    <row r="72" spans="1:18" x14ac:dyDescent="0.3">
      <c r="A72">
        <v>71</v>
      </c>
      <c r="B72">
        <v>2</v>
      </c>
      <c r="C72" s="4">
        <v>45141</v>
      </c>
      <c r="D72" s="4" t="s">
        <v>8</v>
      </c>
      <c r="E72" t="s">
        <v>9</v>
      </c>
      <c r="F72" s="5">
        <v>100</v>
      </c>
      <c r="G72">
        <v>2.3199999999999998</v>
      </c>
      <c r="H72" s="6">
        <v>0.32</v>
      </c>
      <c r="K72">
        <v>66</v>
      </c>
      <c r="L72">
        <v>1</v>
      </c>
      <c r="M72" s="4">
        <v>44988</v>
      </c>
      <c r="N72" t="str">
        <v>001-ABC-003</v>
      </c>
      <c r="O72" t="str">
        <v>Hardware</v>
      </c>
      <c r="P72">
        <v>38.14</v>
      </c>
      <c r="Q72">
        <v>5.34</v>
      </c>
      <c r="R72">
        <v>0.1</v>
      </c>
    </row>
    <row r="73" spans="1:18" x14ac:dyDescent="0.3">
      <c r="A73">
        <v>72</v>
      </c>
      <c r="B73">
        <v>2</v>
      </c>
      <c r="C73" s="4">
        <v>45172</v>
      </c>
      <c r="D73" s="4" t="s">
        <v>12</v>
      </c>
      <c r="E73" t="s">
        <v>11</v>
      </c>
      <c r="F73" s="5">
        <v>32.56</v>
      </c>
      <c r="G73">
        <v>2.0499999999999998</v>
      </c>
      <c r="H73" s="6">
        <v>0.31</v>
      </c>
      <c r="K73">
        <v>67</v>
      </c>
      <c r="L73">
        <v>2</v>
      </c>
      <c r="M73" s="4">
        <v>45019</v>
      </c>
      <c r="N73" t="str">
        <v>001-CDC-002</v>
      </c>
      <c r="O73" t="str">
        <v>Hardware</v>
      </c>
      <c r="P73">
        <v>38.14</v>
      </c>
      <c r="Q73">
        <v>2.7</v>
      </c>
      <c r="R73">
        <v>0.72</v>
      </c>
    </row>
    <row r="74" spans="1:18" x14ac:dyDescent="0.3">
      <c r="A74">
        <v>73</v>
      </c>
      <c r="B74">
        <v>1</v>
      </c>
      <c r="C74" s="4">
        <v>45202</v>
      </c>
      <c r="D74" s="4" t="s">
        <v>13</v>
      </c>
      <c r="E74" t="s">
        <v>11</v>
      </c>
      <c r="F74" s="5">
        <v>38.14</v>
      </c>
      <c r="G74">
        <v>3.21</v>
      </c>
      <c r="H74" s="6">
        <v>0.12</v>
      </c>
      <c r="K74">
        <v>68</v>
      </c>
      <c r="L74">
        <v>2</v>
      </c>
      <c r="M74" s="4">
        <v>45049</v>
      </c>
      <c r="N74" t="str">
        <v>001-SFT-001</v>
      </c>
      <c r="O74" t="str">
        <v>Software</v>
      </c>
      <c r="P74">
        <v>92.32</v>
      </c>
      <c r="Q74">
        <v>1.23</v>
      </c>
      <c r="R74">
        <v>0.46</v>
      </c>
    </row>
    <row r="75" spans="1:18" x14ac:dyDescent="0.3">
      <c r="A75">
        <v>74</v>
      </c>
      <c r="B75">
        <v>5</v>
      </c>
      <c r="C75" s="4">
        <v>45233</v>
      </c>
      <c r="D75" s="4" t="s">
        <v>8</v>
      </c>
      <c r="E75" t="s">
        <v>9</v>
      </c>
      <c r="F75" s="5">
        <v>39.14</v>
      </c>
      <c r="G75">
        <v>4.2300000000000004</v>
      </c>
      <c r="H75" s="6">
        <v>0.44</v>
      </c>
      <c r="K75">
        <v>69</v>
      </c>
      <c r="L75">
        <v>1</v>
      </c>
      <c r="M75" s="4">
        <v>45080</v>
      </c>
      <c r="N75" t="str">
        <v>001-CDC-001</v>
      </c>
      <c r="O75" t="str">
        <v>Hardware</v>
      </c>
      <c r="P75">
        <v>92.32</v>
      </c>
      <c r="Q75">
        <v>3.23</v>
      </c>
      <c r="R75">
        <v>0.5</v>
      </c>
    </row>
    <row r="76" spans="1:18" x14ac:dyDescent="0.3">
      <c r="A76">
        <v>75</v>
      </c>
      <c r="B76">
        <v>6</v>
      </c>
      <c r="C76" s="4">
        <v>45234</v>
      </c>
      <c r="D76" s="4" t="s">
        <v>8</v>
      </c>
      <c r="E76" t="s">
        <v>9</v>
      </c>
      <c r="F76" s="5">
        <v>2.12</v>
      </c>
      <c r="G76">
        <v>0</v>
      </c>
      <c r="H76" s="6">
        <v>0.1</v>
      </c>
      <c r="K76">
        <v>70</v>
      </c>
      <c r="L76">
        <v>4</v>
      </c>
      <c r="M76" s="4">
        <v>45110</v>
      </c>
      <c r="N76" t="str">
        <v>001-CDC-001</v>
      </c>
      <c r="O76" t="str">
        <v>Hardware</v>
      </c>
      <c r="P76">
        <v>50</v>
      </c>
      <c r="Q76">
        <v>2.15</v>
      </c>
      <c r="R76">
        <v>0.67</v>
      </c>
    </row>
    <row r="77" spans="1:18" x14ac:dyDescent="0.3">
      <c r="A77">
        <v>76</v>
      </c>
      <c r="B77">
        <v>3</v>
      </c>
      <c r="C77" s="4">
        <v>45235</v>
      </c>
      <c r="D77" s="4" t="s">
        <v>8</v>
      </c>
      <c r="E77" t="s">
        <v>9</v>
      </c>
      <c r="F77" s="5">
        <v>2.19</v>
      </c>
      <c r="G77">
        <v>0</v>
      </c>
      <c r="H77" s="6">
        <v>0.35</v>
      </c>
      <c r="K77">
        <v>71</v>
      </c>
      <c r="L77">
        <v>2</v>
      </c>
      <c r="M77" s="4">
        <v>45141</v>
      </c>
      <c r="N77" t="str">
        <v>001-SFT-001</v>
      </c>
      <c r="O77" t="str">
        <v>Software</v>
      </c>
      <c r="P77">
        <v>100</v>
      </c>
      <c r="Q77">
        <v>2.3199999999999998</v>
      </c>
      <c r="R77">
        <v>0.32</v>
      </c>
    </row>
    <row r="78" spans="1:18" x14ac:dyDescent="0.3">
      <c r="A78">
        <v>77</v>
      </c>
      <c r="B78">
        <v>5</v>
      </c>
      <c r="C78" s="4">
        <v>45236</v>
      </c>
      <c r="D78" s="4" t="s">
        <v>8</v>
      </c>
      <c r="E78" t="s">
        <v>9</v>
      </c>
      <c r="F78" s="5">
        <v>2.12</v>
      </c>
      <c r="G78">
        <v>0</v>
      </c>
      <c r="H78" s="6">
        <v>0.43</v>
      </c>
      <c r="K78">
        <v>72</v>
      </c>
      <c r="L78">
        <v>2</v>
      </c>
      <c r="M78" s="4">
        <v>45172</v>
      </c>
      <c r="N78" t="str">
        <v>001-ABC-003</v>
      </c>
      <c r="O78" t="str">
        <v>Hardware</v>
      </c>
      <c r="P78">
        <v>32.56</v>
      </c>
      <c r="Q78">
        <v>2.0499999999999998</v>
      </c>
      <c r="R78">
        <v>0.31</v>
      </c>
    </row>
    <row r="79" spans="1:18" x14ac:dyDescent="0.3">
      <c r="A79">
        <v>78</v>
      </c>
      <c r="B79">
        <v>4</v>
      </c>
      <c r="C79" s="4">
        <v>45237</v>
      </c>
      <c r="D79" s="4" t="s">
        <v>8</v>
      </c>
      <c r="E79" t="s">
        <v>9</v>
      </c>
      <c r="F79" s="5">
        <v>3.1</v>
      </c>
      <c r="G79">
        <v>0</v>
      </c>
      <c r="H79" s="6">
        <v>0.52</v>
      </c>
      <c r="K79">
        <v>73</v>
      </c>
      <c r="L79">
        <v>1</v>
      </c>
      <c r="M79" s="4">
        <v>45202</v>
      </c>
      <c r="N79" t="str">
        <v>001-CDC-002</v>
      </c>
      <c r="O79" t="str">
        <v>Hardware</v>
      </c>
      <c r="P79">
        <v>38.14</v>
      </c>
      <c r="Q79">
        <v>3.21</v>
      </c>
      <c r="R79">
        <v>0.12</v>
      </c>
    </row>
    <row r="80" spans="1:18" x14ac:dyDescent="0.3">
      <c r="A80">
        <v>79</v>
      </c>
      <c r="B80">
        <v>4</v>
      </c>
      <c r="C80" s="4">
        <v>45238</v>
      </c>
      <c r="D80" s="4" t="s">
        <v>8</v>
      </c>
      <c r="E80" t="s">
        <v>9</v>
      </c>
      <c r="F80" s="5">
        <v>2.12</v>
      </c>
      <c r="G80">
        <v>0</v>
      </c>
      <c r="H80" s="6">
        <v>0.28000000000000003</v>
      </c>
      <c r="K80">
        <v>74</v>
      </c>
      <c r="L80">
        <v>5</v>
      </c>
      <c r="M80" s="4">
        <v>45233</v>
      </c>
      <c r="N80" t="str">
        <v>001-SFT-001</v>
      </c>
      <c r="O80" t="str">
        <v>Software</v>
      </c>
      <c r="P80">
        <v>39.14</v>
      </c>
      <c r="Q80">
        <v>4.2300000000000004</v>
      </c>
      <c r="R80">
        <v>0.44</v>
      </c>
    </row>
    <row r="81" spans="1:18" x14ac:dyDescent="0.3">
      <c r="A81">
        <v>80</v>
      </c>
      <c r="B81">
        <v>4</v>
      </c>
      <c r="C81" s="4">
        <v>45239</v>
      </c>
      <c r="D81" s="4" t="s">
        <v>8</v>
      </c>
      <c r="E81" t="s">
        <v>9</v>
      </c>
      <c r="F81" s="5">
        <v>4.2</v>
      </c>
      <c r="G81">
        <v>0</v>
      </c>
      <c r="H81" s="6">
        <v>0.87</v>
      </c>
      <c r="K81">
        <v>75</v>
      </c>
      <c r="L81">
        <v>6</v>
      </c>
      <c r="M81" s="4">
        <v>45234</v>
      </c>
      <c r="N81" t="str">
        <v>001-SFT-001</v>
      </c>
      <c r="O81" t="str">
        <v>Software</v>
      </c>
      <c r="P81">
        <v>2.12</v>
      </c>
      <c r="Q81">
        <v>0</v>
      </c>
      <c r="R81">
        <v>0.1</v>
      </c>
    </row>
    <row r="82" spans="1:18" x14ac:dyDescent="0.3">
      <c r="A82">
        <v>81</v>
      </c>
      <c r="B82">
        <v>2</v>
      </c>
      <c r="C82" s="4">
        <v>45240</v>
      </c>
      <c r="D82" s="4" t="s">
        <v>8</v>
      </c>
      <c r="E82" t="s">
        <v>9</v>
      </c>
      <c r="F82" s="5">
        <v>2.12</v>
      </c>
      <c r="G82">
        <v>0</v>
      </c>
      <c r="H82" s="6">
        <v>0.55000000000000004</v>
      </c>
      <c r="K82">
        <v>76</v>
      </c>
      <c r="L82">
        <v>3</v>
      </c>
      <c r="M82" s="4">
        <v>45235</v>
      </c>
      <c r="N82" t="str">
        <v>001-SFT-001</v>
      </c>
      <c r="O82" t="str">
        <v>Software</v>
      </c>
      <c r="P82">
        <v>2.19</v>
      </c>
      <c r="Q82">
        <v>0</v>
      </c>
      <c r="R82">
        <v>0.35</v>
      </c>
    </row>
    <row r="83" spans="1:18" x14ac:dyDescent="0.3">
      <c r="A83">
        <v>82</v>
      </c>
      <c r="B83">
        <v>2</v>
      </c>
      <c r="C83" s="4">
        <v>45241</v>
      </c>
      <c r="D83" s="4" t="s">
        <v>8</v>
      </c>
      <c r="E83" t="s">
        <v>9</v>
      </c>
      <c r="F83" s="5">
        <v>3.1</v>
      </c>
      <c r="G83">
        <v>0</v>
      </c>
      <c r="H83" s="6">
        <v>0.4</v>
      </c>
      <c r="K83">
        <v>77</v>
      </c>
      <c r="L83">
        <v>5</v>
      </c>
      <c r="M83" s="4">
        <v>45236</v>
      </c>
      <c r="N83" t="str">
        <v>001-SFT-001</v>
      </c>
      <c r="O83" t="str">
        <v>Software</v>
      </c>
      <c r="P83">
        <v>2.12</v>
      </c>
      <c r="Q83">
        <v>0</v>
      </c>
      <c r="R83">
        <v>0.43</v>
      </c>
    </row>
    <row r="84" spans="1:18" x14ac:dyDescent="0.3">
      <c r="A84">
        <v>83</v>
      </c>
      <c r="B84">
        <v>1</v>
      </c>
      <c r="C84" s="4">
        <v>45242</v>
      </c>
      <c r="D84" s="4" t="s">
        <v>8</v>
      </c>
      <c r="E84" t="s">
        <v>9</v>
      </c>
      <c r="F84" s="5">
        <v>2.12</v>
      </c>
      <c r="G84">
        <v>0</v>
      </c>
      <c r="H84" s="6">
        <v>0.96</v>
      </c>
      <c r="K84">
        <v>78</v>
      </c>
      <c r="L84">
        <v>4</v>
      </c>
      <c r="M84" s="4">
        <v>45237</v>
      </c>
      <c r="N84" t="str">
        <v>001-SFT-001</v>
      </c>
      <c r="O84" t="str">
        <v>Software</v>
      </c>
      <c r="P84">
        <v>3.1</v>
      </c>
      <c r="Q84">
        <v>0</v>
      </c>
      <c r="R84">
        <v>0.52</v>
      </c>
    </row>
    <row r="85" spans="1:18" x14ac:dyDescent="0.3">
      <c r="A85">
        <v>84</v>
      </c>
      <c r="B85">
        <v>3</v>
      </c>
      <c r="C85" s="4">
        <v>45243</v>
      </c>
      <c r="D85" s="4" t="s">
        <v>8</v>
      </c>
      <c r="E85" t="s">
        <v>9</v>
      </c>
      <c r="F85" s="5">
        <v>4.2</v>
      </c>
      <c r="G85">
        <v>0</v>
      </c>
      <c r="H85" s="6">
        <v>0.8</v>
      </c>
      <c r="K85">
        <v>79</v>
      </c>
      <c r="L85">
        <v>4</v>
      </c>
      <c r="M85" s="4">
        <v>45238</v>
      </c>
      <c r="N85" t="str">
        <v>001-SFT-001</v>
      </c>
      <c r="O85" t="str">
        <v>Software</v>
      </c>
      <c r="P85">
        <v>2.12</v>
      </c>
      <c r="Q85">
        <v>0</v>
      </c>
      <c r="R85">
        <v>0.28000000000000003</v>
      </c>
    </row>
    <row r="86" spans="1:18" x14ac:dyDescent="0.3">
      <c r="A86">
        <v>85</v>
      </c>
      <c r="B86">
        <v>5</v>
      </c>
      <c r="C86" s="4">
        <v>45244</v>
      </c>
      <c r="D86" s="4" t="s">
        <v>8</v>
      </c>
      <c r="E86" t="s">
        <v>9</v>
      </c>
      <c r="F86" s="5">
        <v>2.12</v>
      </c>
      <c r="G86">
        <v>0</v>
      </c>
      <c r="H86" s="6">
        <v>0.34</v>
      </c>
      <c r="K86">
        <v>80</v>
      </c>
      <c r="L86">
        <v>4</v>
      </c>
      <c r="M86" s="4">
        <v>45239</v>
      </c>
      <c r="N86" t="str">
        <v>001-SFT-001</v>
      </c>
      <c r="O86" t="str">
        <v>Software</v>
      </c>
      <c r="P86">
        <v>4.2</v>
      </c>
      <c r="Q86">
        <v>0</v>
      </c>
      <c r="R86">
        <v>0.87</v>
      </c>
    </row>
    <row r="87" spans="1:18" x14ac:dyDescent="0.3">
      <c r="A87">
        <v>86</v>
      </c>
      <c r="B87">
        <v>6</v>
      </c>
      <c r="C87" s="4">
        <v>45245</v>
      </c>
      <c r="D87" s="4" t="s">
        <v>8</v>
      </c>
      <c r="E87" t="s">
        <v>9</v>
      </c>
      <c r="F87" s="5">
        <v>3.1</v>
      </c>
      <c r="G87">
        <v>0</v>
      </c>
      <c r="H87" s="6">
        <v>0.45</v>
      </c>
      <c r="K87">
        <v>81</v>
      </c>
      <c r="L87">
        <v>2</v>
      </c>
      <c r="M87" s="4">
        <v>45240</v>
      </c>
      <c r="N87" t="str">
        <v>001-SFT-001</v>
      </c>
      <c r="O87" t="str">
        <v>Software</v>
      </c>
      <c r="P87">
        <v>2.12</v>
      </c>
      <c r="Q87">
        <v>0</v>
      </c>
      <c r="R87">
        <v>0.55000000000000004</v>
      </c>
    </row>
    <row r="88" spans="1:18" x14ac:dyDescent="0.3">
      <c r="A88">
        <v>87</v>
      </c>
      <c r="B88">
        <v>4</v>
      </c>
      <c r="C88" s="4">
        <v>45246</v>
      </c>
      <c r="D88" s="4" t="s">
        <v>8</v>
      </c>
      <c r="E88" t="s">
        <v>9</v>
      </c>
      <c r="F88" s="5">
        <v>2.12</v>
      </c>
      <c r="G88">
        <v>0</v>
      </c>
      <c r="H88" s="6">
        <v>0.4</v>
      </c>
      <c r="K88">
        <v>82</v>
      </c>
      <c r="L88">
        <v>2</v>
      </c>
      <c r="M88" s="4">
        <v>45241</v>
      </c>
      <c r="N88" t="str">
        <v>001-SFT-001</v>
      </c>
      <c r="O88" t="str">
        <v>Software</v>
      </c>
      <c r="P88">
        <v>3.1</v>
      </c>
      <c r="Q88">
        <v>0</v>
      </c>
      <c r="R88">
        <v>0.4</v>
      </c>
    </row>
    <row r="89" spans="1:18" x14ac:dyDescent="0.3">
      <c r="A89">
        <v>88</v>
      </c>
      <c r="B89">
        <v>5</v>
      </c>
      <c r="C89" s="4">
        <v>45247</v>
      </c>
      <c r="D89" s="4" t="s">
        <v>8</v>
      </c>
      <c r="E89" t="s">
        <v>9</v>
      </c>
      <c r="F89" s="5">
        <v>2.12</v>
      </c>
      <c r="G89">
        <v>0</v>
      </c>
      <c r="H89" s="6">
        <v>0.79</v>
      </c>
      <c r="K89">
        <v>83</v>
      </c>
      <c r="L89">
        <v>1</v>
      </c>
      <c r="M89" s="4">
        <v>45242</v>
      </c>
      <c r="N89" t="str">
        <v>001-SFT-001</v>
      </c>
      <c r="O89" t="str">
        <v>Software</v>
      </c>
      <c r="P89">
        <v>2.12</v>
      </c>
      <c r="Q89">
        <v>0</v>
      </c>
      <c r="R89">
        <v>0.96</v>
      </c>
    </row>
    <row r="90" spans="1:18" x14ac:dyDescent="0.3">
      <c r="A90">
        <v>89</v>
      </c>
      <c r="B90">
        <v>5</v>
      </c>
      <c r="C90" s="4">
        <v>45248</v>
      </c>
      <c r="D90" s="4" t="s">
        <v>8</v>
      </c>
      <c r="E90" t="s">
        <v>9</v>
      </c>
      <c r="F90" s="5">
        <v>4.2</v>
      </c>
      <c r="G90">
        <v>0</v>
      </c>
      <c r="H90" s="6">
        <v>0.2</v>
      </c>
      <c r="K90">
        <v>84</v>
      </c>
      <c r="L90">
        <v>3</v>
      </c>
      <c r="M90" s="4">
        <v>45243</v>
      </c>
      <c r="N90" t="str">
        <v>001-SFT-001</v>
      </c>
      <c r="O90" t="str">
        <v>Software</v>
      </c>
      <c r="P90">
        <v>4.2</v>
      </c>
      <c r="Q90">
        <v>0</v>
      </c>
      <c r="R90">
        <v>0.8</v>
      </c>
    </row>
    <row r="91" spans="1:18" x14ac:dyDescent="0.3">
      <c r="A91">
        <v>90</v>
      </c>
      <c r="B91">
        <v>4</v>
      </c>
      <c r="C91" s="4">
        <v>45249</v>
      </c>
      <c r="D91" s="4" t="s">
        <v>8</v>
      </c>
      <c r="E91" t="s">
        <v>9</v>
      </c>
      <c r="F91" s="5">
        <v>2.12</v>
      </c>
      <c r="G91">
        <v>0</v>
      </c>
      <c r="H91" s="6">
        <v>0.13</v>
      </c>
      <c r="K91">
        <v>85</v>
      </c>
      <c r="L91">
        <v>5</v>
      </c>
      <c r="M91" s="4">
        <v>45244</v>
      </c>
      <c r="N91" t="str">
        <v>001-SFT-001</v>
      </c>
      <c r="O91" t="str">
        <v>Software</v>
      </c>
      <c r="P91">
        <v>2.12</v>
      </c>
      <c r="Q91">
        <v>0</v>
      </c>
      <c r="R91">
        <v>0.34</v>
      </c>
    </row>
    <row r="92" spans="1:18" x14ac:dyDescent="0.3">
      <c r="A92">
        <v>91</v>
      </c>
      <c r="B92">
        <v>6</v>
      </c>
      <c r="C92" s="4">
        <v>45250</v>
      </c>
      <c r="D92" s="4" t="s">
        <v>8</v>
      </c>
      <c r="E92" t="s">
        <v>9</v>
      </c>
      <c r="F92" s="5">
        <v>2.12</v>
      </c>
      <c r="G92">
        <v>0</v>
      </c>
      <c r="H92" s="6">
        <v>0.7</v>
      </c>
      <c r="K92">
        <v>86</v>
      </c>
      <c r="L92">
        <v>6</v>
      </c>
      <c r="M92" s="4">
        <v>45245</v>
      </c>
      <c r="N92" t="str">
        <v>001-SFT-001</v>
      </c>
      <c r="O92" t="str">
        <v>Software</v>
      </c>
      <c r="P92">
        <v>3.1</v>
      </c>
      <c r="Q92">
        <v>0</v>
      </c>
      <c r="R92">
        <v>0.45</v>
      </c>
    </row>
    <row r="93" spans="1:18" x14ac:dyDescent="0.3">
      <c r="A93">
        <v>92</v>
      </c>
      <c r="B93">
        <v>1</v>
      </c>
      <c r="C93" s="4">
        <v>45251</v>
      </c>
      <c r="D93" s="4" t="s">
        <v>8</v>
      </c>
      <c r="E93" t="s">
        <v>9</v>
      </c>
      <c r="F93" s="5">
        <v>4.2</v>
      </c>
      <c r="G93">
        <v>0</v>
      </c>
      <c r="H93" s="6">
        <v>0.69</v>
      </c>
      <c r="K93">
        <v>87</v>
      </c>
      <c r="L93">
        <v>4</v>
      </c>
      <c r="M93" s="4">
        <v>45246</v>
      </c>
      <c r="N93" t="str">
        <v>001-SFT-001</v>
      </c>
      <c r="O93" t="str">
        <v>Software</v>
      </c>
      <c r="P93">
        <v>2.12</v>
      </c>
      <c r="Q93">
        <v>0</v>
      </c>
      <c r="R93">
        <v>0.4</v>
      </c>
    </row>
    <row r="94" spans="1:18" x14ac:dyDescent="0.3">
      <c r="A94">
        <v>93</v>
      </c>
      <c r="B94">
        <v>1</v>
      </c>
      <c r="C94" s="4">
        <v>45252</v>
      </c>
      <c r="D94" s="4" t="s">
        <v>8</v>
      </c>
      <c r="E94" t="s">
        <v>9</v>
      </c>
      <c r="F94" s="5">
        <v>2.12</v>
      </c>
      <c r="G94">
        <v>0</v>
      </c>
      <c r="H94" s="6">
        <v>0.76</v>
      </c>
      <c r="K94">
        <v>88</v>
      </c>
      <c r="L94">
        <v>5</v>
      </c>
      <c r="M94" s="4">
        <v>45247</v>
      </c>
      <c r="N94" t="str">
        <v>001-SFT-001</v>
      </c>
      <c r="O94" t="str">
        <v>Software</v>
      </c>
      <c r="P94">
        <v>2.12</v>
      </c>
      <c r="Q94">
        <v>0</v>
      </c>
      <c r="R94">
        <v>0.79</v>
      </c>
    </row>
    <row r="95" spans="1:18" x14ac:dyDescent="0.3">
      <c r="A95">
        <v>94</v>
      </c>
      <c r="B95">
        <v>1</v>
      </c>
      <c r="C95" s="4">
        <v>45263</v>
      </c>
      <c r="D95" s="4" t="s">
        <v>10</v>
      </c>
      <c r="E95" t="s">
        <v>11</v>
      </c>
      <c r="F95" s="5">
        <v>55.14</v>
      </c>
      <c r="G95">
        <v>5.34</v>
      </c>
      <c r="H95" s="6">
        <v>0.82</v>
      </c>
      <c r="K95">
        <v>89</v>
      </c>
      <c r="L95">
        <v>5</v>
      </c>
      <c r="M95" s="4">
        <v>45248</v>
      </c>
      <c r="N95" t="str">
        <v>001-SFT-001</v>
      </c>
      <c r="O95" t="str">
        <v>Software</v>
      </c>
      <c r="P95">
        <v>4.2</v>
      </c>
      <c r="Q95">
        <v>0</v>
      </c>
      <c r="R95">
        <v>0.2</v>
      </c>
    </row>
    <row r="96" spans="1:18" x14ac:dyDescent="0.3">
      <c r="A96">
        <v>95</v>
      </c>
      <c r="B96">
        <v>6</v>
      </c>
      <c r="C96" s="4">
        <v>45294</v>
      </c>
      <c r="D96" s="4" t="s">
        <v>12</v>
      </c>
      <c r="E96" t="s">
        <v>11</v>
      </c>
      <c r="F96" s="5">
        <v>22.32</v>
      </c>
      <c r="G96">
        <v>2.7</v>
      </c>
      <c r="H96" s="6">
        <v>0.69</v>
      </c>
      <c r="K96">
        <v>90</v>
      </c>
      <c r="L96">
        <v>4</v>
      </c>
      <c r="M96" s="4">
        <v>45249</v>
      </c>
      <c r="N96" t="str">
        <v>001-SFT-001</v>
      </c>
      <c r="O96" t="str">
        <v>Software</v>
      </c>
      <c r="P96">
        <v>2.12</v>
      </c>
      <c r="Q96">
        <v>0</v>
      </c>
      <c r="R96">
        <v>0.13</v>
      </c>
    </row>
    <row r="97" spans="1:18" x14ac:dyDescent="0.3">
      <c r="A97">
        <v>96</v>
      </c>
      <c r="B97">
        <v>4</v>
      </c>
      <c r="C97" s="4">
        <v>45331</v>
      </c>
      <c r="D97" s="4" t="s">
        <v>8</v>
      </c>
      <c r="E97" t="s">
        <v>9</v>
      </c>
      <c r="F97" s="5">
        <v>21.32</v>
      </c>
      <c r="G97">
        <v>1.23</v>
      </c>
      <c r="H97" s="6">
        <v>0.5</v>
      </c>
      <c r="K97">
        <v>91</v>
      </c>
      <c r="L97">
        <v>6</v>
      </c>
      <c r="M97" s="4">
        <v>45250</v>
      </c>
      <c r="N97" t="str">
        <v>001-SFT-001</v>
      </c>
      <c r="O97" t="str">
        <v>Software</v>
      </c>
      <c r="P97">
        <v>2.12</v>
      </c>
      <c r="Q97">
        <v>0</v>
      </c>
      <c r="R97">
        <v>0.7</v>
      </c>
    </row>
    <row r="98" spans="1:18" x14ac:dyDescent="0.3">
      <c r="A98">
        <v>97</v>
      </c>
      <c r="B98">
        <v>4</v>
      </c>
      <c r="C98" s="4">
        <v>45354</v>
      </c>
      <c r="D98" s="4" t="s">
        <v>10</v>
      </c>
      <c r="E98" t="s">
        <v>11</v>
      </c>
      <c r="F98" s="5">
        <v>22.32</v>
      </c>
      <c r="G98">
        <v>3.23</v>
      </c>
      <c r="H98" s="6">
        <v>0.91</v>
      </c>
      <c r="K98">
        <v>92</v>
      </c>
      <c r="L98">
        <v>1</v>
      </c>
      <c r="M98" s="4">
        <v>45251</v>
      </c>
      <c r="N98" t="str">
        <v>001-SFT-001</v>
      </c>
      <c r="O98" t="str">
        <v>Software</v>
      </c>
      <c r="P98">
        <v>4.2</v>
      </c>
      <c r="Q98">
        <v>0</v>
      </c>
      <c r="R98">
        <v>0.69</v>
      </c>
    </row>
    <row r="99" spans="1:18" x14ac:dyDescent="0.3">
      <c r="A99">
        <v>98</v>
      </c>
      <c r="B99">
        <v>6</v>
      </c>
      <c r="C99" s="4">
        <v>45385</v>
      </c>
      <c r="D99" s="4" t="s">
        <v>10</v>
      </c>
      <c r="E99" t="s">
        <v>11</v>
      </c>
      <c r="F99" s="5">
        <v>72.319999999999993</v>
      </c>
      <c r="G99">
        <v>2.42</v>
      </c>
      <c r="H99" s="6">
        <v>0.39</v>
      </c>
      <c r="K99">
        <v>93</v>
      </c>
      <c r="L99">
        <v>1</v>
      </c>
      <c r="M99" s="4">
        <v>45252</v>
      </c>
      <c r="N99" t="str">
        <v>001-SFT-001</v>
      </c>
      <c r="O99" t="str">
        <v>Software</v>
      </c>
      <c r="P99">
        <v>2.12</v>
      </c>
      <c r="Q99">
        <v>0</v>
      </c>
      <c r="R99">
        <v>0.76</v>
      </c>
    </row>
    <row r="100" spans="1:18" x14ac:dyDescent="0.3">
      <c r="A100">
        <v>99</v>
      </c>
      <c r="B100">
        <v>5</v>
      </c>
      <c r="C100" s="4">
        <v>45415</v>
      </c>
      <c r="D100" s="4" t="s">
        <v>8</v>
      </c>
      <c r="E100" t="s">
        <v>9</v>
      </c>
      <c r="F100" s="5">
        <v>30.12</v>
      </c>
      <c r="G100">
        <v>2.33</v>
      </c>
      <c r="H100" s="6">
        <v>0.71</v>
      </c>
      <c r="K100">
        <v>94</v>
      </c>
      <c r="L100">
        <v>1</v>
      </c>
      <c r="M100" s="4">
        <v>45263</v>
      </c>
      <c r="N100" t="str">
        <v>001-CDC-001</v>
      </c>
      <c r="O100" t="str">
        <v>Hardware</v>
      </c>
      <c r="P100">
        <v>55.14</v>
      </c>
      <c r="Q100">
        <v>5.34</v>
      </c>
      <c r="R100">
        <v>0.82</v>
      </c>
    </row>
    <row r="101" spans="1:18" x14ac:dyDescent="0.3">
      <c r="A101">
        <v>100</v>
      </c>
      <c r="B101">
        <v>5</v>
      </c>
      <c r="C101" s="4">
        <v>45446</v>
      </c>
      <c r="D101" s="4" t="s">
        <v>14</v>
      </c>
      <c r="E101" t="s">
        <v>11</v>
      </c>
      <c r="F101" s="5">
        <v>22.32</v>
      </c>
      <c r="G101">
        <v>3.64</v>
      </c>
      <c r="H101" s="6">
        <v>0.84</v>
      </c>
      <c r="K101">
        <v>95</v>
      </c>
      <c r="L101">
        <v>6</v>
      </c>
      <c r="M101" s="4">
        <v>45294</v>
      </c>
      <c r="N101" t="str">
        <v>001-ABC-003</v>
      </c>
      <c r="O101" t="str">
        <v>Hardware</v>
      </c>
      <c r="P101">
        <v>22.32</v>
      </c>
      <c r="Q101">
        <v>2.7</v>
      </c>
      <c r="R101">
        <v>0.69</v>
      </c>
    </row>
    <row r="102" spans="1:18" x14ac:dyDescent="0.3">
      <c r="A102">
        <v>101</v>
      </c>
      <c r="B102">
        <v>6</v>
      </c>
      <c r="C102" s="4">
        <v>45476</v>
      </c>
      <c r="D102" s="4" t="s">
        <v>12</v>
      </c>
      <c r="E102" t="s">
        <v>11</v>
      </c>
      <c r="F102" s="5">
        <v>38.14</v>
      </c>
      <c r="G102">
        <v>4.12</v>
      </c>
      <c r="H102" s="6">
        <v>0.44</v>
      </c>
      <c r="K102">
        <v>96</v>
      </c>
      <c r="L102">
        <v>4</v>
      </c>
      <c r="M102" s="4">
        <v>45331</v>
      </c>
      <c r="N102" t="str">
        <v>001-SFT-001</v>
      </c>
      <c r="O102" t="str">
        <v>Software</v>
      </c>
      <c r="P102">
        <v>21.32</v>
      </c>
      <c r="Q102">
        <v>1.23</v>
      </c>
      <c r="R102">
        <v>0.5</v>
      </c>
    </row>
    <row r="103" spans="1:18" x14ac:dyDescent="0.3">
      <c r="A103">
        <v>102</v>
      </c>
      <c r="B103">
        <v>6</v>
      </c>
      <c r="C103" s="4">
        <v>45507</v>
      </c>
      <c r="D103" s="4" t="s">
        <v>8</v>
      </c>
      <c r="E103" t="s">
        <v>9</v>
      </c>
      <c r="F103" s="5">
        <v>38.14</v>
      </c>
      <c r="G103">
        <v>1.23</v>
      </c>
      <c r="H103" s="6">
        <v>0.4</v>
      </c>
      <c r="K103">
        <v>97</v>
      </c>
      <c r="L103">
        <v>4</v>
      </c>
      <c r="M103" s="4">
        <v>45354</v>
      </c>
      <c r="N103" t="str">
        <v>001-CDC-001</v>
      </c>
      <c r="O103" t="str">
        <v>Hardware</v>
      </c>
      <c r="P103">
        <v>22.32</v>
      </c>
      <c r="Q103">
        <v>3.23</v>
      </c>
      <c r="R103">
        <v>0.91</v>
      </c>
    </row>
    <row r="104" spans="1:18" x14ac:dyDescent="0.3">
      <c r="A104">
        <v>103</v>
      </c>
      <c r="B104">
        <v>3</v>
      </c>
      <c r="C104" s="4">
        <v>45538</v>
      </c>
      <c r="D104" s="4" t="s">
        <v>13</v>
      </c>
      <c r="E104" t="s">
        <v>11</v>
      </c>
      <c r="F104" s="5">
        <v>38.14</v>
      </c>
      <c r="G104">
        <v>1.23</v>
      </c>
      <c r="H104" s="6">
        <v>0.57999999999999996</v>
      </c>
      <c r="K104">
        <v>98</v>
      </c>
      <c r="L104">
        <v>6</v>
      </c>
      <c r="M104" s="4">
        <v>45385</v>
      </c>
      <c r="N104" t="str">
        <v>001-CDC-001</v>
      </c>
      <c r="O104" t="str">
        <v>Hardware</v>
      </c>
      <c r="P104">
        <v>72.319999999999993</v>
      </c>
      <c r="Q104">
        <v>2.42</v>
      </c>
      <c r="R104">
        <v>0.39</v>
      </c>
    </row>
    <row r="105" spans="1:18" x14ac:dyDescent="0.3">
      <c r="A105">
        <v>104</v>
      </c>
      <c r="B105">
        <v>4</v>
      </c>
      <c r="C105" s="4">
        <v>45568</v>
      </c>
      <c r="D105" s="4" t="s">
        <v>10</v>
      </c>
      <c r="E105" t="s">
        <v>11</v>
      </c>
      <c r="F105" s="5">
        <v>92.32</v>
      </c>
      <c r="G105">
        <v>1.23</v>
      </c>
      <c r="H105" s="6">
        <v>0.75</v>
      </c>
      <c r="K105">
        <v>99</v>
      </c>
      <c r="L105">
        <v>5</v>
      </c>
      <c r="M105" s="4">
        <v>45415</v>
      </c>
      <c r="N105" t="str">
        <v>001-SFT-001</v>
      </c>
      <c r="O105" t="str">
        <v>Software</v>
      </c>
      <c r="P105">
        <v>30.12</v>
      </c>
      <c r="Q105">
        <v>2.33</v>
      </c>
      <c r="R105">
        <v>0.71</v>
      </c>
    </row>
    <row r="106" spans="1:18" x14ac:dyDescent="0.3">
      <c r="K106">
        <v>100</v>
      </c>
      <c r="L106">
        <v>5</v>
      </c>
      <c r="M106" s="4">
        <v>45446</v>
      </c>
      <c r="N106" t="str">
        <v>001-CDC-003</v>
      </c>
      <c r="O106" t="str">
        <v>Hardware</v>
      </c>
      <c r="P106">
        <v>22.32</v>
      </c>
      <c r="Q106">
        <v>3.64</v>
      </c>
      <c r="R106">
        <v>0.84</v>
      </c>
    </row>
    <row r="107" spans="1:18" x14ac:dyDescent="0.3">
      <c r="K107">
        <v>101</v>
      </c>
      <c r="L107">
        <v>6</v>
      </c>
      <c r="M107" s="4">
        <v>45476</v>
      </c>
      <c r="N107" t="str">
        <v>001-ABC-003</v>
      </c>
      <c r="O107" t="str">
        <v>Hardware</v>
      </c>
      <c r="P107">
        <v>38.14</v>
      </c>
      <c r="Q107">
        <v>4.12</v>
      </c>
      <c r="R107">
        <v>0.44</v>
      </c>
    </row>
    <row r="108" spans="1:18" x14ac:dyDescent="0.3">
      <c r="K108">
        <v>102</v>
      </c>
      <c r="L108">
        <v>6</v>
      </c>
      <c r="M108" s="4">
        <v>45507</v>
      </c>
      <c r="N108" t="str">
        <v>001-SFT-001</v>
      </c>
      <c r="O108" t="str">
        <v>Software</v>
      </c>
      <c r="P108">
        <v>38.14</v>
      </c>
      <c r="Q108">
        <v>1.23</v>
      </c>
      <c r="R108">
        <v>0.4</v>
      </c>
    </row>
    <row r="109" spans="1:18" x14ac:dyDescent="0.3">
      <c r="K109">
        <v>103</v>
      </c>
      <c r="L109">
        <v>3</v>
      </c>
      <c r="M109" s="4">
        <v>45538</v>
      </c>
      <c r="N109" t="str">
        <v>001-CDC-002</v>
      </c>
      <c r="O109" t="str">
        <v>Hardware</v>
      </c>
      <c r="P109">
        <v>38.14</v>
      </c>
      <c r="Q109">
        <v>1.23</v>
      </c>
      <c r="R109">
        <v>0.57999999999999996</v>
      </c>
    </row>
    <row r="110" spans="1:18" x14ac:dyDescent="0.3">
      <c r="K110">
        <v>104</v>
      </c>
      <c r="L110">
        <v>4</v>
      </c>
      <c r="M110" s="4">
        <v>45568</v>
      </c>
      <c r="N110" t="str">
        <v>001-CDC-001</v>
      </c>
      <c r="O110" t="str">
        <v>Hardware</v>
      </c>
      <c r="P110">
        <v>92.32</v>
      </c>
      <c r="Q110">
        <v>1.23</v>
      </c>
      <c r="R110">
        <v>0.75</v>
      </c>
    </row>
    <row r="111" spans="1:18" x14ac:dyDescent="0.3">
      <c r="K111">
        <v>1</v>
      </c>
      <c r="L111">
        <v>2</v>
      </c>
      <c r="M111" s="4">
        <v>42012</v>
      </c>
      <c r="N111" t="str">
        <v>001-SFT-001</v>
      </c>
      <c r="O111" t="str">
        <v>Software</v>
      </c>
      <c r="P111">
        <v>35</v>
      </c>
      <c r="Q111">
        <v>1.35</v>
      </c>
      <c r="R111">
        <v>7.0000000000000007E-2</v>
      </c>
    </row>
    <row r="112" spans="1:18" x14ac:dyDescent="0.3">
      <c r="K112">
        <v>2</v>
      </c>
      <c r="L112">
        <v>2</v>
      </c>
      <c r="M112" s="4">
        <v>42012</v>
      </c>
      <c r="N112" t="str">
        <v>001-CDC-001</v>
      </c>
      <c r="O112" t="str">
        <v>Hardware</v>
      </c>
      <c r="P112">
        <v>25.17</v>
      </c>
      <c r="Q112">
        <v>3.21</v>
      </c>
      <c r="R112">
        <v>0.16</v>
      </c>
    </row>
    <row r="113" spans="11:18" x14ac:dyDescent="0.3">
      <c r="K113">
        <v>3</v>
      </c>
      <c r="L113">
        <v>5</v>
      </c>
      <c r="M113" s="4">
        <v>42038</v>
      </c>
      <c r="N113" t="str">
        <v>001-SFT-001</v>
      </c>
      <c r="O113" t="str">
        <v>Software</v>
      </c>
      <c r="P113">
        <v>38.14</v>
      </c>
      <c r="Q113">
        <v>2.41</v>
      </c>
      <c r="R113">
        <v>0.2</v>
      </c>
    </row>
    <row r="114" spans="11:18" x14ac:dyDescent="0.3">
      <c r="K114">
        <v>4</v>
      </c>
      <c r="L114">
        <v>4</v>
      </c>
      <c r="M114" s="4">
        <v>42066</v>
      </c>
      <c r="N114" t="str">
        <v>001-SFT-001</v>
      </c>
      <c r="O114" t="str">
        <v>Hardware</v>
      </c>
      <c r="P114">
        <v>39.14</v>
      </c>
      <c r="Q114">
        <v>2.15</v>
      </c>
      <c r="R114">
        <v>0.46</v>
      </c>
    </row>
    <row r="115" spans="11:18" x14ac:dyDescent="0.3">
      <c r="K115">
        <v>5</v>
      </c>
      <c r="L115">
        <v>6</v>
      </c>
      <c r="M115" s="4">
        <v>42467</v>
      </c>
      <c r="N115" t="str">
        <v>001-CDC-001</v>
      </c>
      <c r="O115" t="str">
        <v>Software</v>
      </c>
      <c r="P115">
        <v>55.14</v>
      </c>
      <c r="Q115">
        <v>2.3199999999999998</v>
      </c>
      <c r="R115">
        <v>0.66</v>
      </c>
    </row>
    <row r="116" spans="11:18" x14ac:dyDescent="0.3">
      <c r="K116">
        <v>6</v>
      </c>
      <c r="L116">
        <v>3</v>
      </c>
      <c r="M116" s="4">
        <v>42491</v>
      </c>
      <c r="N116" t="str">
        <v>001-ABC-003</v>
      </c>
      <c r="O116" t="str">
        <v>Hardware</v>
      </c>
      <c r="P116">
        <v>22.32</v>
      </c>
      <c r="Q116">
        <v>2.0499999999999998</v>
      </c>
      <c r="R116">
        <v>0.56999999999999995</v>
      </c>
    </row>
    <row r="117" spans="11:18" x14ac:dyDescent="0.3">
      <c r="K117">
        <v>7</v>
      </c>
      <c r="L117">
        <v>6</v>
      </c>
      <c r="M117" s="4">
        <v>42583</v>
      </c>
      <c r="N117" t="str">
        <v>001-CDC-001</v>
      </c>
      <c r="O117" t="str">
        <v>Hardware</v>
      </c>
      <c r="P117">
        <v>21.32</v>
      </c>
      <c r="Q117">
        <v>3.21</v>
      </c>
      <c r="R117">
        <v>0.18</v>
      </c>
    </row>
    <row r="118" spans="11:18" x14ac:dyDescent="0.3">
      <c r="K118">
        <v>8</v>
      </c>
      <c r="L118">
        <v>5</v>
      </c>
      <c r="M118" s="4">
        <v>42654</v>
      </c>
      <c r="N118" t="str">
        <v>001-SFT-001</v>
      </c>
      <c r="O118" t="str">
        <v>Software</v>
      </c>
      <c r="P118">
        <v>22.32</v>
      </c>
      <c r="Q118">
        <v>4.2300000000000004</v>
      </c>
      <c r="R118">
        <v>0.26</v>
      </c>
    </row>
    <row r="119" spans="11:18" x14ac:dyDescent="0.3">
      <c r="K119">
        <v>9</v>
      </c>
      <c r="L119">
        <v>6</v>
      </c>
      <c r="M119" s="4">
        <v>43019</v>
      </c>
      <c r="N119" t="str">
        <v>001-SFT-001</v>
      </c>
      <c r="O119" t="str">
        <v>Software</v>
      </c>
      <c r="P119">
        <v>72.319999999999993</v>
      </c>
      <c r="Q119">
        <v>5.34</v>
      </c>
      <c r="R119">
        <v>0.37</v>
      </c>
    </row>
    <row r="120" spans="11:18" x14ac:dyDescent="0.3">
      <c r="K120">
        <v>10</v>
      </c>
      <c r="L120">
        <v>1</v>
      </c>
      <c r="M120" s="4">
        <v>43025</v>
      </c>
      <c r="N120" t="str">
        <v>001-CDC-001</v>
      </c>
      <c r="O120" t="str">
        <v>Hardware</v>
      </c>
      <c r="P120">
        <v>30.12</v>
      </c>
      <c r="Q120">
        <v>2.7</v>
      </c>
      <c r="R120">
        <v>0.6</v>
      </c>
    </row>
    <row r="121" spans="11:18" x14ac:dyDescent="0.3">
      <c r="K121">
        <v>11</v>
      </c>
      <c r="L121">
        <v>5</v>
      </c>
      <c r="M121" s="4">
        <v>43025</v>
      </c>
      <c r="N121" t="str">
        <v>001-CDC-002</v>
      </c>
      <c r="O121" t="str">
        <v>Hardware</v>
      </c>
      <c r="P121">
        <v>22.32</v>
      </c>
      <c r="Q121">
        <v>1.23</v>
      </c>
      <c r="R121">
        <v>0.02</v>
      </c>
    </row>
    <row r="122" spans="11:18" x14ac:dyDescent="0.3">
      <c r="K122">
        <v>12</v>
      </c>
      <c r="L122">
        <v>4</v>
      </c>
      <c r="M122" s="4">
        <v>43080</v>
      </c>
      <c r="N122" t="str">
        <v>001-SFT-001</v>
      </c>
      <c r="O122" t="str">
        <v>Software</v>
      </c>
      <c r="P122">
        <v>38.14</v>
      </c>
      <c r="Q122">
        <v>3.23</v>
      </c>
      <c r="R122">
        <v>0.01</v>
      </c>
    </row>
    <row r="123" spans="11:18" x14ac:dyDescent="0.3">
      <c r="K123">
        <v>13</v>
      </c>
      <c r="L123">
        <v>2</v>
      </c>
      <c r="M123" s="4">
        <v>43451</v>
      </c>
      <c r="N123" t="str">
        <v>001-ABC-003</v>
      </c>
      <c r="O123" t="str">
        <v>Hardware</v>
      </c>
      <c r="P123">
        <v>38.14</v>
      </c>
      <c r="Q123">
        <v>2.42</v>
      </c>
      <c r="R123">
        <v>0.21</v>
      </c>
    </row>
    <row r="124" spans="11:18" x14ac:dyDescent="0.3">
      <c r="K124">
        <v>14</v>
      </c>
      <c r="L124">
        <v>5</v>
      </c>
      <c r="M124" s="4">
        <v>43451</v>
      </c>
      <c r="N124" t="str">
        <v>001-SFT-001</v>
      </c>
      <c r="O124" t="str">
        <v>Software</v>
      </c>
      <c r="P124">
        <v>38.14</v>
      </c>
      <c r="Q124">
        <v>2.33</v>
      </c>
      <c r="R124">
        <v>0.38</v>
      </c>
    </row>
    <row r="125" spans="11:18" x14ac:dyDescent="0.3">
      <c r="K125">
        <v>15</v>
      </c>
      <c r="L125">
        <v>3</v>
      </c>
      <c r="M125" s="4">
        <v>43468</v>
      </c>
      <c r="N125" t="str">
        <v>001-CDC-003</v>
      </c>
      <c r="O125" t="str">
        <v>Hardware</v>
      </c>
      <c r="P125">
        <v>92.32</v>
      </c>
      <c r="Q125">
        <v>3.64</v>
      </c>
      <c r="R125">
        <v>0.99</v>
      </c>
    </row>
    <row r="126" spans="11:18" x14ac:dyDescent="0.3">
      <c r="K126">
        <v>16</v>
      </c>
      <c r="L126">
        <v>6</v>
      </c>
      <c r="M126" s="4">
        <v>43468</v>
      </c>
      <c r="N126" t="str">
        <v>001-SFT-001</v>
      </c>
      <c r="O126" t="str">
        <v>Software</v>
      </c>
      <c r="P126">
        <v>92.32</v>
      </c>
      <c r="Q126">
        <v>4.12</v>
      </c>
      <c r="R126">
        <v>0.69</v>
      </c>
    </row>
    <row r="127" spans="11:18" x14ac:dyDescent="0.3">
      <c r="K127">
        <v>17</v>
      </c>
      <c r="L127">
        <v>6</v>
      </c>
      <c r="M127" s="4">
        <v>43499</v>
      </c>
      <c r="N127" t="str">
        <v>001-CDC-002</v>
      </c>
      <c r="O127" t="str">
        <v>Hardware</v>
      </c>
      <c r="P127">
        <v>50</v>
      </c>
      <c r="Q127">
        <v>1.23</v>
      </c>
      <c r="R127">
        <v>0.92</v>
      </c>
    </row>
    <row r="128" spans="11:18" x14ac:dyDescent="0.3">
      <c r="K128">
        <v>18</v>
      </c>
      <c r="L128">
        <v>4</v>
      </c>
      <c r="M128" s="4">
        <v>43527</v>
      </c>
      <c r="N128" t="str">
        <v>001-ABC-003</v>
      </c>
      <c r="O128" t="str">
        <v>Hardware</v>
      </c>
      <c r="P128">
        <v>100</v>
      </c>
      <c r="Q128">
        <v>5.23</v>
      </c>
      <c r="R128">
        <v>0.82</v>
      </c>
    </row>
    <row r="129" spans="11:18" x14ac:dyDescent="0.3">
      <c r="K129">
        <v>19</v>
      </c>
      <c r="L129">
        <v>6</v>
      </c>
      <c r="M129" s="4">
        <v>43558</v>
      </c>
      <c r="N129" t="str">
        <v>001-CDC-002</v>
      </c>
      <c r="O129" t="str">
        <v>Hardware</v>
      </c>
      <c r="P129">
        <v>32.56</v>
      </c>
      <c r="Q129">
        <v>3.21</v>
      </c>
      <c r="R129">
        <v>0.82</v>
      </c>
    </row>
    <row r="130" spans="11:18" x14ac:dyDescent="0.3">
      <c r="K130">
        <v>20</v>
      </c>
      <c r="L130">
        <v>2</v>
      </c>
      <c r="M130" s="4">
        <v>43588</v>
      </c>
      <c r="N130" t="str">
        <v>001-SFT-001</v>
      </c>
      <c r="O130" t="str">
        <v>Software</v>
      </c>
      <c r="P130">
        <v>38.14</v>
      </c>
      <c r="Q130">
        <v>2.41</v>
      </c>
      <c r="R130">
        <v>0.43</v>
      </c>
    </row>
    <row r="131" spans="11:18" x14ac:dyDescent="0.3">
      <c r="K131">
        <v>21</v>
      </c>
      <c r="L131">
        <v>6</v>
      </c>
      <c r="M131" s="4">
        <v>43619</v>
      </c>
      <c r="N131" t="str">
        <v>001-SFT-001</v>
      </c>
      <c r="O131" t="str">
        <v>Software</v>
      </c>
      <c r="P131">
        <v>39.14</v>
      </c>
      <c r="Q131">
        <v>2.15</v>
      </c>
      <c r="R131">
        <v>7.0000000000000007E-2</v>
      </c>
    </row>
    <row r="132" spans="11:18" x14ac:dyDescent="0.3">
      <c r="K132">
        <v>22</v>
      </c>
      <c r="L132">
        <v>6</v>
      </c>
      <c r="M132" s="4">
        <v>43649</v>
      </c>
      <c r="N132" t="str">
        <v>001-CDC-003</v>
      </c>
      <c r="O132" t="str">
        <v>Hardware</v>
      </c>
      <c r="P132">
        <v>55.14</v>
      </c>
      <c r="Q132">
        <v>2.3199999999999998</v>
      </c>
      <c r="R132">
        <v>0.05</v>
      </c>
    </row>
    <row r="133" spans="11:18" x14ac:dyDescent="0.3">
      <c r="K133">
        <v>23</v>
      </c>
      <c r="L133">
        <v>1</v>
      </c>
      <c r="M133" s="4">
        <v>43680</v>
      </c>
      <c r="N133" t="str">
        <v>001-ABC-003</v>
      </c>
      <c r="O133" t="str">
        <v>Hardware</v>
      </c>
      <c r="P133">
        <v>22.32</v>
      </c>
      <c r="Q133">
        <v>2.0499999999999998</v>
      </c>
      <c r="R133">
        <v>0.39</v>
      </c>
    </row>
    <row r="134" spans="11:18" x14ac:dyDescent="0.3">
      <c r="K134">
        <v>24</v>
      </c>
      <c r="L134">
        <v>2</v>
      </c>
      <c r="M134" s="4">
        <v>43711</v>
      </c>
      <c r="N134" t="str">
        <v>001-ABC-003</v>
      </c>
      <c r="O134" t="str">
        <v>Hardware</v>
      </c>
      <c r="P134">
        <v>21.32</v>
      </c>
      <c r="Q134">
        <v>3.21</v>
      </c>
      <c r="R134">
        <v>0.74</v>
      </c>
    </row>
    <row r="135" spans="11:18" x14ac:dyDescent="0.3">
      <c r="K135">
        <v>25</v>
      </c>
      <c r="L135">
        <v>3</v>
      </c>
      <c r="M135" s="4">
        <v>43741</v>
      </c>
      <c r="N135" t="str">
        <v>001-SFT-001</v>
      </c>
      <c r="O135" t="str">
        <v>Software</v>
      </c>
      <c r="P135">
        <v>22.32</v>
      </c>
      <c r="Q135">
        <v>4.2300000000000004</v>
      </c>
      <c r="R135">
        <v>0.85</v>
      </c>
    </row>
    <row r="136" spans="11:18" x14ac:dyDescent="0.3">
      <c r="K136">
        <v>26</v>
      </c>
      <c r="L136">
        <v>1</v>
      </c>
      <c r="M136" s="4">
        <v>43772</v>
      </c>
      <c r="N136" t="str">
        <v>001-SFT-001</v>
      </c>
      <c r="O136" t="str">
        <v>Software</v>
      </c>
      <c r="P136">
        <v>72.319999999999993</v>
      </c>
      <c r="Q136">
        <v>5.34</v>
      </c>
      <c r="R136">
        <v>0.59</v>
      </c>
    </row>
    <row r="137" spans="11:18" x14ac:dyDescent="0.3">
      <c r="K137">
        <v>27</v>
      </c>
      <c r="L137">
        <v>4</v>
      </c>
      <c r="M137" s="4">
        <v>43802</v>
      </c>
      <c r="N137" t="str">
        <v>001-CDC-001</v>
      </c>
      <c r="O137" t="str">
        <v>Hardware</v>
      </c>
      <c r="P137">
        <v>30.12</v>
      </c>
      <c r="Q137">
        <v>2.7</v>
      </c>
      <c r="R137">
        <v>0.53</v>
      </c>
    </row>
    <row r="138" spans="11:18" x14ac:dyDescent="0.3">
      <c r="K138">
        <v>28</v>
      </c>
      <c r="L138">
        <v>1</v>
      </c>
      <c r="M138" s="4">
        <v>43833</v>
      </c>
      <c r="N138" t="str">
        <v>001-CDC-002</v>
      </c>
      <c r="O138" t="str">
        <v>Hardware</v>
      </c>
      <c r="P138">
        <v>22.32</v>
      </c>
      <c r="Q138">
        <v>1.23</v>
      </c>
      <c r="R138">
        <v>0.55000000000000004</v>
      </c>
    </row>
    <row r="139" spans="11:18" x14ac:dyDescent="0.3">
      <c r="K139">
        <v>29</v>
      </c>
      <c r="L139">
        <v>2</v>
      </c>
      <c r="M139" s="4">
        <v>43864</v>
      </c>
      <c r="N139" t="str">
        <v>001-SFT-001</v>
      </c>
      <c r="O139" t="str">
        <v>Software</v>
      </c>
      <c r="P139">
        <v>38.14</v>
      </c>
      <c r="Q139">
        <v>3.23</v>
      </c>
      <c r="R139">
        <v>0.51</v>
      </c>
    </row>
    <row r="140" spans="11:18" x14ac:dyDescent="0.3">
      <c r="K140">
        <v>30</v>
      </c>
      <c r="L140">
        <v>6</v>
      </c>
      <c r="M140" s="4">
        <v>43893</v>
      </c>
      <c r="N140" t="str">
        <v>001-CDC-001</v>
      </c>
      <c r="O140" t="str">
        <v>Hardware</v>
      </c>
      <c r="P140">
        <v>38.14</v>
      </c>
      <c r="Q140">
        <v>2.42</v>
      </c>
      <c r="R140">
        <v>0.2</v>
      </c>
    </row>
    <row r="141" spans="11:18" x14ac:dyDescent="0.3">
      <c r="K141">
        <v>31</v>
      </c>
      <c r="L141">
        <v>2</v>
      </c>
      <c r="M141" s="4">
        <v>43924</v>
      </c>
      <c r="N141" t="str">
        <v>001-SFT-001</v>
      </c>
      <c r="O141" t="str">
        <v>Software</v>
      </c>
      <c r="P141">
        <v>38.14</v>
      </c>
      <c r="Q141">
        <v>2.33</v>
      </c>
      <c r="R141">
        <v>0.14000000000000001</v>
      </c>
    </row>
    <row r="142" spans="11:18" x14ac:dyDescent="0.3">
      <c r="K142">
        <v>32</v>
      </c>
      <c r="L142">
        <v>3</v>
      </c>
      <c r="M142" s="4">
        <v>43954</v>
      </c>
      <c r="N142" t="str">
        <v>001-ABC-003</v>
      </c>
      <c r="O142" t="str">
        <v>Hardware</v>
      </c>
      <c r="P142">
        <v>92.32</v>
      </c>
      <c r="Q142">
        <v>3.64</v>
      </c>
      <c r="R142">
        <v>0.62</v>
      </c>
    </row>
    <row r="143" spans="11:18" x14ac:dyDescent="0.3">
      <c r="K143">
        <v>33</v>
      </c>
      <c r="L143">
        <v>3</v>
      </c>
      <c r="M143" s="4">
        <v>43985</v>
      </c>
      <c r="N143" t="str">
        <v>001-SFT-001</v>
      </c>
      <c r="O143" t="str">
        <v>Software</v>
      </c>
      <c r="P143">
        <v>92.32</v>
      </c>
      <c r="Q143">
        <v>4.12</v>
      </c>
      <c r="R143">
        <v>0.57999999999999996</v>
      </c>
    </row>
    <row r="144" spans="11:18" x14ac:dyDescent="0.3">
      <c r="K144">
        <v>34</v>
      </c>
      <c r="L144">
        <v>6</v>
      </c>
      <c r="M144" s="4">
        <v>44015</v>
      </c>
      <c r="N144" t="str">
        <v>001-CDC-001</v>
      </c>
      <c r="O144" t="str">
        <v>Hardware</v>
      </c>
      <c r="P144">
        <v>50</v>
      </c>
      <c r="Q144">
        <v>1.23</v>
      </c>
      <c r="R144">
        <v>0.63</v>
      </c>
    </row>
    <row r="145" spans="11:18" x14ac:dyDescent="0.3">
      <c r="K145">
        <v>35</v>
      </c>
      <c r="L145">
        <v>6</v>
      </c>
      <c r="M145" s="4">
        <v>44046</v>
      </c>
      <c r="N145" t="str">
        <v>001-CDC-002</v>
      </c>
      <c r="O145" t="str">
        <v>Hardware</v>
      </c>
      <c r="P145">
        <v>100</v>
      </c>
      <c r="Q145">
        <v>5.23</v>
      </c>
      <c r="R145">
        <v>0.39</v>
      </c>
    </row>
    <row r="146" spans="11:18" x14ac:dyDescent="0.3">
      <c r="K146">
        <v>36</v>
      </c>
      <c r="L146">
        <v>5</v>
      </c>
      <c r="M146" s="4">
        <v>44077</v>
      </c>
      <c r="N146" t="str">
        <v>001-CDC-001</v>
      </c>
      <c r="O146" t="str">
        <v>Hardware</v>
      </c>
      <c r="P146">
        <v>32.56</v>
      </c>
      <c r="Q146">
        <v>3.21</v>
      </c>
      <c r="R146">
        <v>0.38</v>
      </c>
    </row>
    <row r="147" spans="11:18" x14ac:dyDescent="0.3">
      <c r="K147">
        <v>37</v>
      </c>
      <c r="L147">
        <v>2</v>
      </c>
      <c r="M147" s="4">
        <v>44107</v>
      </c>
      <c r="N147" t="str">
        <v>001-SFT-001</v>
      </c>
      <c r="O147" t="str">
        <v>Software</v>
      </c>
      <c r="P147">
        <v>38.14</v>
      </c>
      <c r="Q147">
        <v>2.41</v>
      </c>
      <c r="R147">
        <v>0.1</v>
      </c>
    </row>
    <row r="148" spans="11:18" x14ac:dyDescent="0.3">
      <c r="K148">
        <v>38</v>
      </c>
      <c r="L148">
        <v>3</v>
      </c>
      <c r="M148" s="4">
        <v>44138</v>
      </c>
      <c r="N148" t="str">
        <v>001-SFT-001</v>
      </c>
      <c r="O148" t="str">
        <v>Software</v>
      </c>
      <c r="P148">
        <v>39.14</v>
      </c>
      <c r="Q148">
        <v>2.15</v>
      </c>
      <c r="R148">
        <v>0.95</v>
      </c>
    </row>
    <row r="149" spans="11:18" x14ac:dyDescent="0.3">
      <c r="K149">
        <v>39</v>
      </c>
      <c r="L149">
        <v>6</v>
      </c>
      <c r="M149" s="4">
        <v>44168</v>
      </c>
      <c r="N149" t="str">
        <v>001-CDC-003</v>
      </c>
      <c r="O149" t="str">
        <v>Hardware</v>
      </c>
      <c r="P149">
        <v>55.14</v>
      </c>
      <c r="Q149">
        <v>2.3199999999999998</v>
      </c>
      <c r="R149">
        <v>0.56999999999999995</v>
      </c>
    </row>
    <row r="150" spans="11:18" x14ac:dyDescent="0.3">
      <c r="K150">
        <v>40</v>
      </c>
      <c r="L150">
        <v>5</v>
      </c>
      <c r="M150" s="4">
        <v>44199</v>
      </c>
      <c r="N150" t="str">
        <v>001-ABC-003</v>
      </c>
      <c r="O150" t="str">
        <v>Hardware</v>
      </c>
      <c r="P150">
        <v>22.32</v>
      </c>
      <c r="Q150">
        <v>2.0499999999999998</v>
      </c>
      <c r="R150">
        <v>0.93</v>
      </c>
    </row>
    <row r="151" spans="11:18" x14ac:dyDescent="0.3">
      <c r="K151">
        <v>41</v>
      </c>
      <c r="L151">
        <v>5</v>
      </c>
      <c r="M151" s="4">
        <v>44230</v>
      </c>
      <c r="N151" t="str">
        <v>001-ABC-003</v>
      </c>
      <c r="O151" t="str">
        <v>Hardware</v>
      </c>
      <c r="P151">
        <v>21.32</v>
      </c>
      <c r="Q151">
        <v>3.21</v>
      </c>
      <c r="R151">
        <v>0.79</v>
      </c>
    </row>
    <row r="152" spans="11:18" x14ac:dyDescent="0.3">
      <c r="K152">
        <v>42</v>
      </c>
      <c r="L152">
        <v>1</v>
      </c>
      <c r="M152" s="4">
        <v>44258</v>
      </c>
      <c r="N152" t="str">
        <v>001-SFT-001</v>
      </c>
      <c r="O152" t="str">
        <v>Software</v>
      </c>
      <c r="P152">
        <v>22.32</v>
      </c>
      <c r="Q152">
        <v>4.2300000000000004</v>
      </c>
      <c r="R152">
        <v>0.64</v>
      </c>
    </row>
    <row r="153" spans="11:18" x14ac:dyDescent="0.3">
      <c r="K153">
        <v>43</v>
      </c>
      <c r="L153">
        <v>5</v>
      </c>
      <c r="M153" s="4">
        <v>44289</v>
      </c>
      <c r="N153" t="str">
        <v>001-SFT-001</v>
      </c>
      <c r="O153" t="str">
        <v>Software</v>
      </c>
      <c r="P153">
        <v>72.319999999999993</v>
      </c>
      <c r="Q153">
        <v>5.34</v>
      </c>
      <c r="R153">
        <v>0.19</v>
      </c>
    </row>
    <row r="154" spans="11:18" x14ac:dyDescent="0.3">
      <c r="K154">
        <v>44</v>
      </c>
      <c r="L154">
        <v>1</v>
      </c>
      <c r="M154" s="4">
        <v>44319</v>
      </c>
      <c r="N154" t="str">
        <v>001-CDC-001</v>
      </c>
      <c r="O154" t="str">
        <v>Hardware</v>
      </c>
      <c r="P154">
        <v>30.12</v>
      </c>
      <c r="Q154">
        <v>2.7</v>
      </c>
      <c r="R154">
        <v>0.12</v>
      </c>
    </row>
    <row r="155" spans="11:18" x14ac:dyDescent="0.3">
      <c r="K155">
        <v>45</v>
      </c>
      <c r="L155">
        <v>6</v>
      </c>
      <c r="M155" s="4">
        <v>44350</v>
      </c>
      <c r="N155" t="str">
        <v>001-CDC-002</v>
      </c>
      <c r="O155" t="str">
        <v>Hardware</v>
      </c>
      <c r="P155">
        <v>22.32</v>
      </c>
      <c r="Q155">
        <v>1.23</v>
      </c>
      <c r="R155">
        <v>0.65</v>
      </c>
    </row>
    <row r="156" spans="11:18" x14ac:dyDescent="0.3">
      <c r="K156">
        <v>46</v>
      </c>
      <c r="L156">
        <v>1</v>
      </c>
      <c r="M156" s="4">
        <v>44380</v>
      </c>
      <c r="N156" t="str">
        <v>001-SFT-001</v>
      </c>
      <c r="O156" t="str">
        <v>Software</v>
      </c>
      <c r="P156">
        <v>38.14</v>
      </c>
      <c r="Q156">
        <v>3.23</v>
      </c>
      <c r="R156">
        <v>0.87</v>
      </c>
    </row>
    <row r="157" spans="11:18" x14ac:dyDescent="0.3">
      <c r="K157">
        <v>46</v>
      </c>
      <c r="L157">
        <v>2</v>
      </c>
      <c r="M157" s="4">
        <v>44411</v>
      </c>
      <c r="N157" t="str">
        <v>001-CDC-001</v>
      </c>
      <c r="O157" t="str">
        <v>Hardware</v>
      </c>
      <c r="P157">
        <v>38.14</v>
      </c>
      <c r="Q157">
        <v>2.42</v>
      </c>
      <c r="R157">
        <v>0.65</v>
      </c>
    </row>
    <row r="158" spans="11:18" x14ac:dyDescent="0.3">
      <c r="K158">
        <v>48</v>
      </c>
      <c r="L158">
        <v>6</v>
      </c>
      <c r="M158" s="4">
        <v>44442</v>
      </c>
      <c r="N158" t="str">
        <v>001-SFT-001</v>
      </c>
      <c r="O158" t="str">
        <v>Software</v>
      </c>
      <c r="P158">
        <v>38.14</v>
      </c>
      <c r="Q158">
        <v>2.33</v>
      </c>
      <c r="R158">
        <v>0.51</v>
      </c>
    </row>
    <row r="159" spans="11:18" x14ac:dyDescent="0.3">
      <c r="K159">
        <v>49</v>
      </c>
      <c r="L159">
        <v>2</v>
      </c>
      <c r="M159" s="4">
        <v>44472</v>
      </c>
      <c r="N159" t="str">
        <v>001-ABC-003</v>
      </c>
      <c r="O159" t="str">
        <v>Hardware</v>
      </c>
      <c r="P159">
        <v>92.32</v>
      </c>
      <c r="Q159">
        <v>3.64</v>
      </c>
      <c r="R159">
        <v>0.86</v>
      </c>
    </row>
    <row r="160" spans="11:18" x14ac:dyDescent="0.3">
      <c r="K160">
        <v>50</v>
      </c>
      <c r="L160">
        <v>5</v>
      </c>
      <c r="M160" s="4">
        <v>44503</v>
      </c>
      <c r="N160" t="str">
        <v>001-SFT-001</v>
      </c>
      <c r="O160" t="str">
        <v>Software</v>
      </c>
      <c r="P160">
        <v>92.32</v>
      </c>
      <c r="Q160">
        <v>4.12</v>
      </c>
      <c r="R160">
        <v>0.59</v>
      </c>
    </row>
    <row r="161" spans="11:18" x14ac:dyDescent="0.3">
      <c r="K161">
        <v>51</v>
      </c>
      <c r="L161">
        <v>4</v>
      </c>
      <c r="M161" s="4">
        <v>44533</v>
      </c>
      <c r="N161" t="str">
        <v>001-ABC-003</v>
      </c>
      <c r="O161" t="str">
        <v>Hardware</v>
      </c>
      <c r="P161">
        <v>50</v>
      </c>
      <c r="Q161">
        <v>1.23</v>
      </c>
      <c r="R161">
        <v>0.75</v>
      </c>
    </row>
    <row r="162" spans="11:18" x14ac:dyDescent="0.3">
      <c r="K162">
        <v>52</v>
      </c>
      <c r="L162">
        <v>6</v>
      </c>
      <c r="M162" s="4">
        <v>44564</v>
      </c>
      <c r="N162" t="str">
        <v>001-CDC-003</v>
      </c>
      <c r="O162" t="str">
        <v>Hardware</v>
      </c>
      <c r="P162">
        <v>35.89</v>
      </c>
      <c r="Q162">
        <v>0.57999999999999996</v>
      </c>
      <c r="R162">
        <v>0.93</v>
      </c>
    </row>
    <row r="163" spans="11:18" x14ac:dyDescent="0.3">
      <c r="K163">
        <v>53</v>
      </c>
      <c r="L163">
        <v>5</v>
      </c>
      <c r="M163" s="4">
        <v>44595</v>
      </c>
      <c r="N163" t="str">
        <v>001-SFT-001</v>
      </c>
      <c r="O163" t="str">
        <v>Software</v>
      </c>
      <c r="P163">
        <v>14.73</v>
      </c>
      <c r="Q163">
        <v>5.34</v>
      </c>
      <c r="R163">
        <v>0.2</v>
      </c>
    </row>
    <row r="164" spans="11:18" x14ac:dyDescent="0.3">
      <c r="K164">
        <v>54</v>
      </c>
      <c r="L164">
        <v>4</v>
      </c>
      <c r="M164" s="4">
        <v>44623</v>
      </c>
      <c r="N164" t="str">
        <v>001-ABC-003</v>
      </c>
      <c r="O164" t="str">
        <v>Hardware</v>
      </c>
      <c r="P164">
        <v>10</v>
      </c>
      <c r="Q164">
        <v>2.7</v>
      </c>
      <c r="R164">
        <v>0.8</v>
      </c>
    </row>
    <row r="165" spans="11:18" x14ac:dyDescent="0.3">
      <c r="K165">
        <v>55</v>
      </c>
      <c r="L165">
        <v>6</v>
      </c>
      <c r="M165" s="4">
        <v>44654</v>
      </c>
      <c r="N165" t="str">
        <v>001-CDC-002</v>
      </c>
      <c r="O165" t="str">
        <v>Hardware</v>
      </c>
      <c r="P165">
        <v>32.56</v>
      </c>
      <c r="Q165">
        <v>1.23</v>
      </c>
      <c r="R165">
        <v>0.49</v>
      </c>
    </row>
    <row r="166" spans="11:18" x14ac:dyDescent="0.3">
      <c r="K166">
        <v>56</v>
      </c>
      <c r="L166">
        <v>4</v>
      </c>
      <c r="M166" s="4">
        <v>44684</v>
      </c>
      <c r="N166" t="str">
        <v>001-SFT-001</v>
      </c>
      <c r="O166" t="str">
        <v>Software</v>
      </c>
      <c r="P166">
        <v>38.14</v>
      </c>
      <c r="Q166">
        <v>3.23</v>
      </c>
      <c r="R166">
        <v>0.79</v>
      </c>
    </row>
    <row r="167" spans="11:18" x14ac:dyDescent="0.3">
      <c r="K167">
        <v>57</v>
      </c>
      <c r="L167">
        <v>6</v>
      </c>
      <c r="M167" s="4">
        <v>44715</v>
      </c>
      <c r="N167" t="str">
        <v>001-CDC-001</v>
      </c>
      <c r="O167" t="str">
        <v>Hardware</v>
      </c>
      <c r="P167">
        <v>39.14</v>
      </c>
      <c r="Q167">
        <v>2.42</v>
      </c>
      <c r="R167">
        <v>0.9</v>
      </c>
    </row>
    <row r="168" spans="11:18" x14ac:dyDescent="0.3">
      <c r="K168">
        <v>58</v>
      </c>
      <c r="L168">
        <v>5</v>
      </c>
      <c r="M168" s="4">
        <v>44745</v>
      </c>
      <c r="N168" t="str">
        <v>001-CDC-002</v>
      </c>
      <c r="O168" t="str">
        <v>Hardware</v>
      </c>
      <c r="P168">
        <v>55.14</v>
      </c>
      <c r="Q168">
        <v>2.33</v>
      </c>
      <c r="R168">
        <v>0.94</v>
      </c>
    </row>
    <row r="169" spans="11:18" x14ac:dyDescent="0.3">
      <c r="K169">
        <v>59</v>
      </c>
      <c r="L169">
        <v>1</v>
      </c>
      <c r="M169" s="4">
        <v>44776</v>
      </c>
      <c r="N169" t="str">
        <v>001-SFT-001</v>
      </c>
      <c r="O169" t="str">
        <v>Software</v>
      </c>
      <c r="P169">
        <v>22.32</v>
      </c>
      <c r="Q169">
        <v>3.64</v>
      </c>
      <c r="R169">
        <v>0.51</v>
      </c>
    </row>
    <row r="170" spans="11:18" x14ac:dyDescent="0.3">
      <c r="K170">
        <v>60</v>
      </c>
      <c r="L170">
        <v>1</v>
      </c>
      <c r="M170" s="4">
        <v>44807</v>
      </c>
      <c r="N170" t="str">
        <v>001-ABC-003</v>
      </c>
      <c r="O170" t="str">
        <v>Hardware</v>
      </c>
      <c r="P170">
        <v>21.32</v>
      </c>
      <c r="Q170">
        <v>4.12</v>
      </c>
      <c r="R170">
        <v>0.32</v>
      </c>
    </row>
    <row r="171" spans="11:18" x14ac:dyDescent="0.3">
      <c r="K171">
        <v>61</v>
      </c>
      <c r="L171">
        <v>2</v>
      </c>
      <c r="M171" s="4">
        <v>44837</v>
      </c>
      <c r="N171" t="str">
        <v>001-CDC-002</v>
      </c>
      <c r="O171" t="str">
        <v>Hardware</v>
      </c>
      <c r="P171">
        <v>22.32</v>
      </c>
      <c r="Q171">
        <v>1.23</v>
      </c>
      <c r="R171">
        <v>0.05</v>
      </c>
    </row>
    <row r="172" spans="11:18" x14ac:dyDescent="0.3">
      <c r="K172">
        <v>62</v>
      </c>
      <c r="L172">
        <v>3</v>
      </c>
      <c r="M172" s="4">
        <v>44868</v>
      </c>
      <c r="N172" t="str">
        <v>001-SFT-001</v>
      </c>
      <c r="O172" t="str">
        <v>Software</v>
      </c>
      <c r="P172">
        <v>72.319999999999993</v>
      </c>
      <c r="Q172">
        <v>0.57999999999999996</v>
      </c>
      <c r="R172">
        <v>0.4</v>
      </c>
    </row>
    <row r="173" spans="11:18" x14ac:dyDescent="0.3">
      <c r="K173">
        <v>63</v>
      </c>
      <c r="L173">
        <v>5</v>
      </c>
      <c r="M173" s="4">
        <v>44898</v>
      </c>
      <c r="N173" t="str">
        <v>001-CDC-001</v>
      </c>
      <c r="O173" t="str">
        <v>Hardware</v>
      </c>
      <c r="P173">
        <v>30.12</v>
      </c>
      <c r="Q173">
        <v>2.0499999999999998</v>
      </c>
      <c r="R173">
        <v>0.91</v>
      </c>
    </row>
    <row r="174" spans="11:18" x14ac:dyDescent="0.3">
      <c r="K174">
        <v>64</v>
      </c>
      <c r="L174">
        <v>2</v>
      </c>
      <c r="M174" s="4">
        <v>44929</v>
      </c>
      <c r="N174" t="str">
        <v>001-CDC-001</v>
      </c>
      <c r="O174" t="str">
        <v>Hardware</v>
      </c>
      <c r="P174">
        <v>22.32</v>
      </c>
      <c r="Q174">
        <v>3.21</v>
      </c>
      <c r="R174">
        <v>0.45</v>
      </c>
    </row>
    <row r="175" spans="11:18" x14ac:dyDescent="0.3">
      <c r="K175">
        <v>65</v>
      </c>
      <c r="L175">
        <v>2</v>
      </c>
      <c r="M175" s="4">
        <v>44960</v>
      </c>
      <c r="N175" t="str">
        <v>001-SFT-001</v>
      </c>
      <c r="O175" t="str">
        <v>Software</v>
      </c>
      <c r="P175">
        <v>38.14</v>
      </c>
      <c r="Q175">
        <v>4.2300000000000004</v>
      </c>
      <c r="R175">
        <v>0.56999999999999995</v>
      </c>
    </row>
    <row r="176" spans="11:18" x14ac:dyDescent="0.3">
      <c r="K176">
        <v>66</v>
      </c>
      <c r="L176">
        <v>1</v>
      </c>
      <c r="M176" s="4">
        <v>44988</v>
      </c>
      <c r="N176" t="str">
        <v>001-ABC-003</v>
      </c>
      <c r="O176" t="str">
        <v>Hardware</v>
      </c>
      <c r="P176">
        <v>38.14</v>
      </c>
      <c r="Q176">
        <v>5.34</v>
      </c>
      <c r="R176">
        <v>0.1</v>
      </c>
    </row>
    <row r="177" spans="11:18" x14ac:dyDescent="0.3">
      <c r="K177">
        <v>67</v>
      </c>
      <c r="L177">
        <v>2</v>
      </c>
      <c r="M177" s="4">
        <v>45019</v>
      </c>
      <c r="N177" t="str">
        <v>001-CDC-002</v>
      </c>
      <c r="O177" t="str">
        <v>Hardware</v>
      </c>
      <c r="P177">
        <v>38.14</v>
      </c>
      <c r="Q177">
        <v>2.7</v>
      </c>
      <c r="R177">
        <v>0.72</v>
      </c>
    </row>
    <row r="178" spans="11:18" x14ac:dyDescent="0.3">
      <c r="K178">
        <v>68</v>
      </c>
      <c r="L178">
        <v>2</v>
      </c>
      <c r="M178" s="4">
        <v>45049</v>
      </c>
      <c r="N178" t="str">
        <v>001-SFT-001</v>
      </c>
      <c r="O178" t="str">
        <v>Software</v>
      </c>
      <c r="P178">
        <v>92.32</v>
      </c>
      <c r="Q178">
        <v>1.23</v>
      </c>
      <c r="R178">
        <v>0.46</v>
      </c>
    </row>
    <row r="179" spans="11:18" x14ac:dyDescent="0.3">
      <c r="K179">
        <v>69</v>
      </c>
      <c r="L179">
        <v>1</v>
      </c>
      <c r="M179" s="4">
        <v>45080</v>
      </c>
      <c r="N179" t="str">
        <v>001-CDC-001</v>
      </c>
      <c r="O179" t="str">
        <v>Hardware</v>
      </c>
      <c r="P179">
        <v>92.32</v>
      </c>
      <c r="Q179">
        <v>3.23</v>
      </c>
      <c r="R179">
        <v>0.5</v>
      </c>
    </row>
    <row r="180" spans="11:18" x14ac:dyDescent="0.3">
      <c r="K180">
        <v>70</v>
      </c>
      <c r="L180">
        <v>4</v>
      </c>
      <c r="M180" s="4">
        <v>45110</v>
      </c>
      <c r="N180" t="str">
        <v>001-CDC-001</v>
      </c>
      <c r="O180" t="str">
        <v>Hardware</v>
      </c>
      <c r="P180">
        <v>50</v>
      </c>
      <c r="Q180">
        <v>2.15</v>
      </c>
      <c r="R180">
        <v>0.67</v>
      </c>
    </row>
    <row r="181" spans="11:18" x14ac:dyDescent="0.3">
      <c r="K181">
        <v>71</v>
      </c>
      <c r="L181">
        <v>2</v>
      </c>
      <c r="M181" s="4">
        <v>45141</v>
      </c>
      <c r="N181" t="str">
        <v>001-SFT-001</v>
      </c>
      <c r="O181" t="str">
        <v>Software</v>
      </c>
      <c r="P181">
        <v>100</v>
      </c>
      <c r="Q181">
        <v>2.3199999999999998</v>
      </c>
      <c r="R181">
        <v>0.32</v>
      </c>
    </row>
    <row r="182" spans="11:18" x14ac:dyDescent="0.3">
      <c r="K182">
        <v>72</v>
      </c>
      <c r="L182">
        <v>2</v>
      </c>
      <c r="M182" s="4">
        <v>45172</v>
      </c>
      <c r="N182" t="str">
        <v>001-ABC-003</v>
      </c>
      <c r="O182" t="str">
        <v>Hardware</v>
      </c>
      <c r="P182">
        <v>32.56</v>
      </c>
      <c r="Q182">
        <v>2.0499999999999998</v>
      </c>
      <c r="R182">
        <v>0.31</v>
      </c>
    </row>
    <row r="183" spans="11:18" x14ac:dyDescent="0.3">
      <c r="K183">
        <v>73</v>
      </c>
      <c r="L183">
        <v>1</v>
      </c>
      <c r="M183" s="4">
        <v>45202</v>
      </c>
      <c r="N183" t="str">
        <v>001-CDC-002</v>
      </c>
      <c r="O183" t="str">
        <v>Hardware</v>
      </c>
      <c r="P183">
        <v>38.14</v>
      </c>
      <c r="Q183">
        <v>3.21</v>
      </c>
      <c r="R183">
        <v>0.12</v>
      </c>
    </row>
    <row r="184" spans="11:18" x14ac:dyDescent="0.3">
      <c r="K184">
        <v>74</v>
      </c>
      <c r="L184">
        <v>5</v>
      </c>
      <c r="M184" s="4">
        <v>45233</v>
      </c>
      <c r="N184" t="str">
        <v>001-SFT-001</v>
      </c>
      <c r="O184" t="str">
        <v>Software</v>
      </c>
      <c r="P184">
        <v>39.14</v>
      </c>
      <c r="Q184">
        <v>4.2300000000000004</v>
      </c>
      <c r="R184">
        <v>0.44</v>
      </c>
    </row>
    <row r="185" spans="11:18" x14ac:dyDescent="0.3">
      <c r="K185">
        <v>75</v>
      </c>
      <c r="L185">
        <v>6</v>
      </c>
      <c r="M185" s="4">
        <v>45234</v>
      </c>
      <c r="N185" t="str">
        <v>001-SFT-001</v>
      </c>
      <c r="O185" t="str">
        <v>Software</v>
      </c>
      <c r="P185">
        <v>2.12</v>
      </c>
      <c r="Q185">
        <v>0</v>
      </c>
      <c r="R185">
        <v>0.1</v>
      </c>
    </row>
    <row r="186" spans="11:18" x14ac:dyDescent="0.3">
      <c r="K186">
        <v>76</v>
      </c>
      <c r="L186">
        <v>3</v>
      </c>
      <c r="M186" s="4">
        <v>45235</v>
      </c>
      <c r="N186" t="str">
        <v>001-SFT-001</v>
      </c>
      <c r="O186" t="str">
        <v>Software</v>
      </c>
      <c r="P186">
        <v>2.19</v>
      </c>
      <c r="Q186">
        <v>0</v>
      </c>
      <c r="R186">
        <v>0.35</v>
      </c>
    </row>
    <row r="187" spans="11:18" x14ac:dyDescent="0.3">
      <c r="K187">
        <v>77</v>
      </c>
      <c r="L187">
        <v>5</v>
      </c>
      <c r="M187" s="4">
        <v>45236</v>
      </c>
      <c r="N187" t="str">
        <v>001-SFT-001</v>
      </c>
      <c r="O187" t="str">
        <v>Software</v>
      </c>
      <c r="P187">
        <v>2.12</v>
      </c>
      <c r="Q187">
        <v>0</v>
      </c>
      <c r="R187">
        <v>0.43</v>
      </c>
    </row>
    <row r="188" spans="11:18" x14ac:dyDescent="0.3">
      <c r="K188">
        <v>78</v>
      </c>
      <c r="L188">
        <v>4</v>
      </c>
      <c r="M188" s="4">
        <v>45237</v>
      </c>
      <c r="N188" t="str">
        <v>001-SFT-001</v>
      </c>
      <c r="O188" t="str">
        <v>Software</v>
      </c>
      <c r="P188">
        <v>3.1</v>
      </c>
      <c r="Q188">
        <v>0</v>
      </c>
      <c r="R188">
        <v>0.52</v>
      </c>
    </row>
    <row r="189" spans="11:18" x14ac:dyDescent="0.3">
      <c r="K189">
        <v>79</v>
      </c>
      <c r="L189">
        <v>4</v>
      </c>
      <c r="M189" s="4">
        <v>45238</v>
      </c>
      <c r="N189" t="str">
        <v>001-SFT-001</v>
      </c>
      <c r="O189" t="str">
        <v>Software</v>
      </c>
      <c r="P189">
        <v>2.12</v>
      </c>
      <c r="Q189">
        <v>0</v>
      </c>
      <c r="R189">
        <v>0.28000000000000003</v>
      </c>
    </row>
    <row r="190" spans="11:18" x14ac:dyDescent="0.3">
      <c r="K190">
        <v>80</v>
      </c>
      <c r="L190">
        <v>4</v>
      </c>
      <c r="M190" s="4">
        <v>45239</v>
      </c>
      <c r="N190" t="str">
        <v>001-SFT-001</v>
      </c>
      <c r="O190" t="str">
        <v>Software</v>
      </c>
      <c r="P190">
        <v>4.2</v>
      </c>
      <c r="Q190">
        <v>0</v>
      </c>
      <c r="R190">
        <v>0.87</v>
      </c>
    </row>
    <row r="191" spans="11:18" x14ac:dyDescent="0.3">
      <c r="K191">
        <v>81</v>
      </c>
      <c r="L191">
        <v>2</v>
      </c>
      <c r="M191" s="4">
        <v>45240</v>
      </c>
      <c r="N191" t="str">
        <v>001-SFT-001</v>
      </c>
      <c r="O191" t="str">
        <v>Software</v>
      </c>
      <c r="P191">
        <v>2.12</v>
      </c>
      <c r="Q191">
        <v>0</v>
      </c>
      <c r="R191">
        <v>0.55000000000000004</v>
      </c>
    </row>
    <row r="192" spans="11:18" x14ac:dyDescent="0.3">
      <c r="K192">
        <v>82</v>
      </c>
      <c r="L192">
        <v>2</v>
      </c>
      <c r="M192" s="4">
        <v>45241</v>
      </c>
      <c r="N192" t="str">
        <v>001-SFT-001</v>
      </c>
      <c r="O192" t="str">
        <v>Software</v>
      </c>
      <c r="P192">
        <v>3.1</v>
      </c>
      <c r="Q192">
        <v>0</v>
      </c>
      <c r="R192">
        <v>0.4</v>
      </c>
    </row>
    <row r="193" spans="11:18" x14ac:dyDescent="0.3">
      <c r="K193">
        <v>83</v>
      </c>
      <c r="L193">
        <v>1</v>
      </c>
      <c r="M193" s="4">
        <v>45242</v>
      </c>
      <c r="N193" t="str">
        <v>001-SFT-001</v>
      </c>
      <c r="O193" t="str">
        <v>Software</v>
      </c>
      <c r="P193">
        <v>2.12</v>
      </c>
      <c r="Q193">
        <v>0</v>
      </c>
      <c r="R193">
        <v>0.96</v>
      </c>
    </row>
    <row r="194" spans="11:18" x14ac:dyDescent="0.3">
      <c r="K194">
        <v>84</v>
      </c>
      <c r="L194">
        <v>3</v>
      </c>
      <c r="M194" s="4">
        <v>45243</v>
      </c>
      <c r="N194" t="str">
        <v>001-SFT-001</v>
      </c>
      <c r="O194" t="str">
        <v>Software</v>
      </c>
      <c r="P194">
        <v>4.2</v>
      </c>
      <c r="Q194">
        <v>0</v>
      </c>
      <c r="R194">
        <v>0.8</v>
      </c>
    </row>
    <row r="195" spans="11:18" x14ac:dyDescent="0.3">
      <c r="K195">
        <v>85</v>
      </c>
      <c r="L195">
        <v>5</v>
      </c>
      <c r="M195" s="4">
        <v>45244</v>
      </c>
      <c r="N195" t="str">
        <v>001-SFT-001</v>
      </c>
      <c r="O195" t="str">
        <v>Software</v>
      </c>
      <c r="P195">
        <v>2.12</v>
      </c>
      <c r="Q195">
        <v>0</v>
      </c>
      <c r="R195">
        <v>0.34</v>
      </c>
    </row>
    <row r="196" spans="11:18" x14ac:dyDescent="0.3">
      <c r="K196">
        <v>86</v>
      </c>
      <c r="L196">
        <v>6</v>
      </c>
      <c r="M196" s="4">
        <v>45245</v>
      </c>
      <c r="N196" t="str">
        <v>001-SFT-001</v>
      </c>
      <c r="O196" t="str">
        <v>Software</v>
      </c>
      <c r="P196">
        <v>3.1</v>
      </c>
      <c r="Q196">
        <v>0</v>
      </c>
      <c r="R196">
        <v>0.45</v>
      </c>
    </row>
    <row r="197" spans="11:18" x14ac:dyDescent="0.3">
      <c r="K197">
        <v>87</v>
      </c>
      <c r="L197">
        <v>4</v>
      </c>
      <c r="M197" s="4">
        <v>45246</v>
      </c>
      <c r="N197" t="str">
        <v>001-SFT-001</v>
      </c>
      <c r="O197" t="str">
        <v>Software</v>
      </c>
      <c r="P197">
        <v>2.12</v>
      </c>
      <c r="Q197">
        <v>0</v>
      </c>
      <c r="R197">
        <v>0.4</v>
      </c>
    </row>
    <row r="198" spans="11:18" x14ac:dyDescent="0.3">
      <c r="K198">
        <v>88</v>
      </c>
      <c r="L198">
        <v>5</v>
      </c>
      <c r="M198" s="4">
        <v>45247</v>
      </c>
      <c r="N198" t="str">
        <v>001-SFT-001</v>
      </c>
      <c r="O198" t="str">
        <v>Software</v>
      </c>
      <c r="P198">
        <v>2.12</v>
      </c>
      <c r="Q198">
        <v>0</v>
      </c>
      <c r="R198">
        <v>0.79</v>
      </c>
    </row>
    <row r="199" spans="11:18" x14ac:dyDescent="0.3">
      <c r="K199">
        <v>89</v>
      </c>
      <c r="L199">
        <v>5</v>
      </c>
      <c r="M199" s="4">
        <v>45248</v>
      </c>
      <c r="N199" t="str">
        <v>001-SFT-001</v>
      </c>
      <c r="O199" t="str">
        <v>Software</v>
      </c>
      <c r="P199">
        <v>4.2</v>
      </c>
      <c r="Q199">
        <v>0</v>
      </c>
      <c r="R199">
        <v>0.2</v>
      </c>
    </row>
    <row r="200" spans="11:18" x14ac:dyDescent="0.3">
      <c r="K200">
        <v>90</v>
      </c>
      <c r="L200">
        <v>4</v>
      </c>
      <c r="M200" s="4">
        <v>45249</v>
      </c>
      <c r="N200" t="str">
        <v>001-SFT-001</v>
      </c>
      <c r="O200" t="str">
        <v>Software</v>
      </c>
      <c r="P200">
        <v>2.12</v>
      </c>
      <c r="Q200">
        <v>0</v>
      </c>
      <c r="R200">
        <v>0.13</v>
      </c>
    </row>
    <row r="201" spans="11:18" x14ac:dyDescent="0.3">
      <c r="K201">
        <v>91</v>
      </c>
      <c r="L201">
        <v>6</v>
      </c>
      <c r="M201" s="4">
        <v>45250</v>
      </c>
      <c r="N201" t="str">
        <v>001-SFT-001</v>
      </c>
      <c r="O201" t="str">
        <v>Software</v>
      </c>
      <c r="P201">
        <v>2.12</v>
      </c>
      <c r="Q201">
        <v>0</v>
      </c>
      <c r="R201">
        <v>0.7</v>
      </c>
    </row>
    <row r="202" spans="11:18" x14ac:dyDescent="0.3">
      <c r="K202">
        <v>92</v>
      </c>
      <c r="L202">
        <v>1</v>
      </c>
      <c r="M202" s="4">
        <v>45251</v>
      </c>
      <c r="N202" t="str">
        <v>001-SFT-001</v>
      </c>
      <c r="O202" t="str">
        <v>Software</v>
      </c>
      <c r="P202">
        <v>4.2</v>
      </c>
      <c r="Q202">
        <v>0</v>
      </c>
      <c r="R202">
        <v>0.69</v>
      </c>
    </row>
    <row r="203" spans="11:18" x14ac:dyDescent="0.3">
      <c r="K203">
        <v>93</v>
      </c>
      <c r="L203">
        <v>1</v>
      </c>
      <c r="M203" s="4">
        <v>45252</v>
      </c>
      <c r="N203" t="str">
        <v>001-SFT-001</v>
      </c>
      <c r="O203" t="str">
        <v>Software</v>
      </c>
      <c r="P203">
        <v>2.12</v>
      </c>
      <c r="Q203">
        <v>0</v>
      </c>
      <c r="R203">
        <v>0.76</v>
      </c>
    </row>
    <row r="204" spans="11:18" x14ac:dyDescent="0.3">
      <c r="K204">
        <v>94</v>
      </c>
      <c r="L204">
        <v>1</v>
      </c>
      <c r="M204" s="4">
        <v>45263</v>
      </c>
      <c r="N204" t="str">
        <v>001-CDC-001</v>
      </c>
      <c r="O204" t="str">
        <v>Hardware</v>
      </c>
      <c r="P204">
        <v>55.14</v>
      </c>
      <c r="Q204">
        <v>5.34</v>
      </c>
      <c r="R204">
        <v>0.82</v>
      </c>
    </row>
    <row r="205" spans="11:18" x14ac:dyDescent="0.3">
      <c r="K205">
        <v>95</v>
      </c>
      <c r="L205">
        <v>6</v>
      </c>
      <c r="M205" s="4">
        <v>45294</v>
      </c>
      <c r="N205" t="str">
        <v>001-ABC-003</v>
      </c>
      <c r="O205" t="str">
        <v>Hardware</v>
      </c>
      <c r="P205">
        <v>22.32</v>
      </c>
      <c r="Q205">
        <v>2.7</v>
      </c>
      <c r="R205">
        <v>0.69</v>
      </c>
    </row>
    <row r="206" spans="11:18" x14ac:dyDescent="0.3">
      <c r="K206">
        <v>96</v>
      </c>
      <c r="L206">
        <v>4</v>
      </c>
      <c r="M206" s="4">
        <v>45331</v>
      </c>
      <c r="N206" t="str">
        <v>001-SFT-001</v>
      </c>
      <c r="O206" t="str">
        <v>Software</v>
      </c>
      <c r="P206">
        <v>21.32</v>
      </c>
      <c r="Q206">
        <v>1.23</v>
      </c>
      <c r="R206">
        <v>0.5</v>
      </c>
    </row>
    <row r="207" spans="11:18" x14ac:dyDescent="0.3">
      <c r="K207">
        <v>97</v>
      </c>
      <c r="L207">
        <v>4</v>
      </c>
      <c r="M207" s="4">
        <v>45354</v>
      </c>
      <c r="N207" t="str">
        <v>001-CDC-001</v>
      </c>
      <c r="O207" t="str">
        <v>Hardware</v>
      </c>
      <c r="P207">
        <v>22.32</v>
      </c>
      <c r="Q207">
        <v>3.23</v>
      </c>
      <c r="R207">
        <v>0.91</v>
      </c>
    </row>
    <row r="208" spans="11:18" x14ac:dyDescent="0.3">
      <c r="K208">
        <v>98</v>
      </c>
      <c r="L208">
        <v>6</v>
      </c>
      <c r="M208" s="4">
        <v>45385</v>
      </c>
      <c r="N208" t="str">
        <v>001-CDC-001</v>
      </c>
      <c r="O208" t="str">
        <v>Hardware</v>
      </c>
      <c r="P208">
        <v>72.319999999999993</v>
      </c>
      <c r="Q208">
        <v>2.42</v>
      </c>
      <c r="R208">
        <v>0.39</v>
      </c>
    </row>
    <row r="209" spans="11:18" x14ac:dyDescent="0.3">
      <c r="K209">
        <v>99</v>
      </c>
      <c r="L209">
        <v>5</v>
      </c>
      <c r="M209" s="4">
        <v>45415</v>
      </c>
      <c r="N209" t="str">
        <v>001-SFT-001</v>
      </c>
      <c r="O209" t="str">
        <v>Software</v>
      </c>
      <c r="P209">
        <v>30.12</v>
      </c>
      <c r="Q209">
        <v>2.33</v>
      </c>
      <c r="R209">
        <v>0.71</v>
      </c>
    </row>
    <row r="210" spans="11:18" x14ac:dyDescent="0.3">
      <c r="K210">
        <v>100</v>
      </c>
      <c r="L210">
        <v>5</v>
      </c>
      <c r="M210" s="4">
        <v>45446</v>
      </c>
      <c r="N210" t="str">
        <v>001-CDC-003</v>
      </c>
      <c r="O210" t="str">
        <v>Hardware</v>
      </c>
      <c r="P210">
        <v>22.32</v>
      </c>
      <c r="Q210">
        <v>3.64</v>
      </c>
      <c r="R210">
        <v>0.84</v>
      </c>
    </row>
    <row r="211" spans="11:18" x14ac:dyDescent="0.3">
      <c r="K211">
        <v>101</v>
      </c>
      <c r="L211">
        <v>6</v>
      </c>
      <c r="M211" s="4">
        <v>45476</v>
      </c>
      <c r="N211" t="str">
        <v>001-ABC-003</v>
      </c>
      <c r="O211" t="str">
        <v>Hardware</v>
      </c>
      <c r="P211">
        <v>38.14</v>
      </c>
      <c r="Q211">
        <v>4.12</v>
      </c>
      <c r="R211">
        <v>0.44</v>
      </c>
    </row>
    <row r="212" spans="11:18" x14ac:dyDescent="0.3">
      <c r="K212">
        <v>102</v>
      </c>
      <c r="L212">
        <v>6</v>
      </c>
      <c r="M212" s="4">
        <v>45507</v>
      </c>
      <c r="N212" t="str">
        <v>001-SFT-001</v>
      </c>
      <c r="O212" t="str">
        <v>Software</v>
      </c>
      <c r="P212">
        <v>38.14</v>
      </c>
      <c r="Q212">
        <v>1.23</v>
      </c>
      <c r="R212">
        <v>0.4</v>
      </c>
    </row>
    <row r="213" spans="11:18" x14ac:dyDescent="0.3">
      <c r="K213">
        <v>103</v>
      </c>
      <c r="L213">
        <v>3</v>
      </c>
      <c r="M213" s="4">
        <v>45538</v>
      </c>
      <c r="N213" t="str">
        <v>001-CDC-002</v>
      </c>
      <c r="O213" t="str">
        <v>Hardware</v>
      </c>
      <c r="P213">
        <v>38.14</v>
      </c>
      <c r="Q213">
        <v>1.23</v>
      </c>
      <c r="R213">
        <v>0.57999999999999996</v>
      </c>
    </row>
    <row r="214" spans="11:18" x14ac:dyDescent="0.3">
      <c r="K214">
        <v>104</v>
      </c>
      <c r="L214">
        <v>4</v>
      </c>
      <c r="M214" s="4">
        <v>45568</v>
      </c>
      <c r="N214" t="str">
        <v>001-CDC-001</v>
      </c>
      <c r="O214" t="str">
        <v>Hardware</v>
      </c>
      <c r="P214">
        <v>92.32</v>
      </c>
      <c r="Q214">
        <v>1.23</v>
      </c>
      <c r="R214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BB67-68D9-4DC7-8DDC-26EE2364611C}">
  <dimension ref="A1:L106"/>
  <sheetViews>
    <sheetView zoomScale="190" zoomScaleNormal="190" workbookViewId="0">
      <selection activeCell="I1" sqref="I1"/>
    </sheetView>
  </sheetViews>
  <sheetFormatPr defaultRowHeight="14.4" x14ac:dyDescent="0.3"/>
  <cols>
    <col min="1" max="1" width="14.88671875" customWidth="1"/>
    <col min="2" max="2" width="9.33203125" customWidth="1"/>
    <col min="3" max="3" width="12.109375" customWidth="1"/>
    <col min="4" max="4" width="14.77734375" customWidth="1"/>
    <col min="5" max="5" width="10.109375" customWidth="1"/>
    <col min="7" max="7" width="12.5546875" customWidth="1"/>
    <col min="8" max="8" width="11.88671875" customWidth="1"/>
    <col min="9" max="9" width="13.77734375" bestFit="1" customWidth="1"/>
    <col min="11" max="11" width="10.21875" bestFit="1" customWidth="1"/>
  </cols>
  <sheetData>
    <row r="1" spans="1:12" x14ac:dyDescent="0.3">
      <c r="A1" s="9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0" t="s">
        <v>7</v>
      </c>
      <c r="I1" s="13" t="s">
        <v>27</v>
      </c>
    </row>
    <row r="2" spans="1:12" x14ac:dyDescent="0.3">
      <c r="A2" s="14">
        <v>1</v>
      </c>
      <c r="B2" s="15">
        <v>2</v>
      </c>
      <c r="C2" s="16">
        <v>42012</v>
      </c>
      <c r="D2" s="16" t="s">
        <v>8</v>
      </c>
      <c r="E2" s="15" t="s">
        <v>9</v>
      </c>
      <c r="F2" s="17">
        <v>35</v>
      </c>
      <c r="G2" s="15">
        <v>1.35</v>
      </c>
      <c r="H2" s="18">
        <v>7.0000000000000007E-2</v>
      </c>
      <c r="I2" s="19">
        <f>Tabella!$H2*2</f>
        <v>0.14000000000000001</v>
      </c>
      <c r="K2" t="str" cm="1">
        <f t="array" ref="K2:L5">_xlfn.GROUPBY(Tabella!$E$1:$E$106,Tabella!$F$1:$F$106,_xleta.SUM,3,0)</f>
        <v>Categoria</v>
      </c>
      <c r="L2" t="str">
        <v>Spesa</v>
      </c>
    </row>
    <row r="3" spans="1:12" x14ac:dyDescent="0.3">
      <c r="A3" s="20">
        <v>2</v>
      </c>
      <c r="B3" s="21">
        <v>2</v>
      </c>
      <c r="C3" s="22">
        <v>42012</v>
      </c>
      <c r="D3" s="22" t="s">
        <v>10</v>
      </c>
      <c r="E3" s="21" t="s">
        <v>11</v>
      </c>
      <c r="F3" s="23">
        <v>25.17</v>
      </c>
      <c r="G3" s="21">
        <v>3.21</v>
      </c>
      <c r="H3" s="24">
        <v>0.16</v>
      </c>
      <c r="I3" s="25">
        <f>Tabella!$H3*2</f>
        <v>0.32</v>
      </c>
      <c r="K3" t="str">
        <v>Consulenza</v>
      </c>
      <c r="L3">
        <v>190</v>
      </c>
    </row>
    <row r="4" spans="1:12" x14ac:dyDescent="0.3">
      <c r="A4" s="14">
        <v>3</v>
      </c>
      <c r="B4" s="15">
        <v>5</v>
      </c>
      <c r="C4" s="16">
        <v>42038</v>
      </c>
      <c r="D4" s="16" t="s">
        <v>8</v>
      </c>
      <c r="E4" s="15" t="s">
        <v>9</v>
      </c>
      <c r="F4" s="17">
        <v>38.14</v>
      </c>
      <c r="G4" s="15">
        <v>2.41</v>
      </c>
      <c r="H4" s="18">
        <v>0.2</v>
      </c>
      <c r="I4" s="19">
        <f>Tabella!$H4*2</f>
        <v>0.4</v>
      </c>
      <c r="K4" t="str">
        <v>Hardware</v>
      </c>
      <c r="L4">
        <v>2190.46</v>
      </c>
    </row>
    <row r="5" spans="1:12" x14ac:dyDescent="0.3">
      <c r="A5" s="20">
        <v>4</v>
      </c>
      <c r="B5" s="21">
        <v>4</v>
      </c>
      <c r="C5" s="22">
        <v>42066</v>
      </c>
      <c r="D5" s="22" t="s">
        <v>8</v>
      </c>
      <c r="E5" s="21" t="s">
        <v>11</v>
      </c>
      <c r="F5" s="23">
        <v>39.14</v>
      </c>
      <c r="G5" s="21">
        <v>2.15</v>
      </c>
      <c r="H5" s="24">
        <v>0.46</v>
      </c>
      <c r="I5" s="25">
        <f>Tabella!$H5*2</f>
        <v>0.92</v>
      </c>
      <c r="K5" t="str">
        <v>Software</v>
      </c>
      <c r="L5">
        <v>1630.8599999999988</v>
      </c>
    </row>
    <row r="6" spans="1:12" x14ac:dyDescent="0.3">
      <c r="A6" s="14">
        <v>5</v>
      </c>
      <c r="B6" s="15">
        <v>6</v>
      </c>
      <c r="C6" s="16">
        <v>42467</v>
      </c>
      <c r="D6" s="16" t="s">
        <v>10</v>
      </c>
      <c r="E6" s="15" t="s">
        <v>9</v>
      </c>
      <c r="F6" s="17">
        <v>55.14</v>
      </c>
      <c r="G6" s="15">
        <v>2.3199999999999998</v>
      </c>
      <c r="H6" s="18">
        <v>0.66</v>
      </c>
      <c r="I6" s="19">
        <f>Tabella!$H6*2</f>
        <v>1.32</v>
      </c>
    </row>
    <row r="7" spans="1:12" x14ac:dyDescent="0.3">
      <c r="A7" s="20">
        <v>6</v>
      </c>
      <c r="B7" s="21">
        <v>3</v>
      </c>
      <c r="C7" s="22">
        <v>42491</v>
      </c>
      <c r="D7" s="22" t="s">
        <v>12</v>
      </c>
      <c r="E7" s="21" t="s">
        <v>11</v>
      </c>
      <c r="F7" s="23">
        <v>22.32</v>
      </c>
      <c r="G7" s="21">
        <v>2.0499999999999998</v>
      </c>
      <c r="H7" s="24">
        <v>0.56999999999999995</v>
      </c>
      <c r="I7" s="25">
        <f>Tabella!$H7*2</f>
        <v>1.1399999999999999</v>
      </c>
    </row>
    <row r="8" spans="1:12" x14ac:dyDescent="0.3">
      <c r="A8" s="14">
        <v>7</v>
      </c>
      <c r="B8" s="15">
        <v>6</v>
      </c>
      <c r="C8" s="16">
        <v>42583</v>
      </c>
      <c r="D8" s="16" t="s">
        <v>10</v>
      </c>
      <c r="E8" s="15" t="s">
        <v>11</v>
      </c>
      <c r="F8" s="17">
        <v>21.32</v>
      </c>
      <c r="G8" s="15">
        <v>3.21</v>
      </c>
      <c r="H8" s="18">
        <v>0.18</v>
      </c>
      <c r="I8" s="19">
        <f>Tabella!$H8*2</f>
        <v>0.36</v>
      </c>
    </row>
    <row r="9" spans="1:12" x14ac:dyDescent="0.3">
      <c r="A9" s="20">
        <v>8</v>
      </c>
      <c r="B9" s="21">
        <v>5</v>
      </c>
      <c r="C9" s="22">
        <v>42654</v>
      </c>
      <c r="D9" s="22" t="s">
        <v>8</v>
      </c>
      <c r="E9" s="21" t="s">
        <v>9</v>
      </c>
      <c r="F9" s="23">
        <v>22.32</v>
      </c>
      <c r="G9" s="21">
        <v>4.2300000000000004</v>
      </c>
      <c r="H9" s="24">
        <v>0.26</v>
      </c>
      <c r="I9" s="25">
        <f>Tabella!$H9*2</f>
        <v>0.52</v>
      </c>
    </row>
    <row r="10" spans="1:12" x14ac:dyDescent="0.3">
      <c r="A10" s="14">
        <v>9</v>
      </c>
      <c r="B10" s="15">
        <v>6</v>
      </c>
      <c r="C10" s="16">
        <v>43019</v>
      </c>
      <c r="D10" s="16" t="s">
        <v>8</v>
      </c>
      <c r="E10" s="15" t="s">
        <v>9</v>
      </c>
      <c r="F10" s="17">
        <v>72.319999999999993</v>
      </c>
      <c r="G10" s="15">
        <v>5.34</v>
      </c>
      <c r="H10" s="18">
        <v>0.37</v>
      </c>
      <c r="I10" s="19">
        <f>Tabella!$H10*2</f>
        <v>0.74</v>
      </c>
    </row>
    <row r="11" spans="1:12" x14ac:dyDescent="0.3">
      <c r="A11" s="20">
        <v>10</v>
      </c>
      <c r="B11" s="21">
        <v>1</v>
      </c>
      <c r="C11" s="22">
        <v>43025</v>
      </c>
      <c r="D11" s="22" t="s">
        <v>10</v>
      </c>
      <c r="E11" s="21" t="s">
        <v>11</v>
      </c>
      <c r="F11" s="23">
        <v>30.12</v>
      </c>
      <c r="G11" s="21">
        <v>2.7</v>
      </c>
      <c r="H11" s="24">
        <v>0.6</v>
      </c>
      <c r="I11" s="25">
        <f>Tabella!$H11*2</f>
        <v>1.2</v>
      </c>
    </row>
    <row r="12" spans="1:12" x14ac:dyDescent="0.3">
      <c r="A12" s="14">
        <v>11</v>
      </c>
      <c r="B12" s="15">
        <v>5</v>
      </c>
      <c r="C12" s="16">
        <v>43025</v>
      </c>
      <c r="D12" s="16" t="s">
        <v>13</v>
      </c>
      <c r="E12" s="15" t="s">
        <v>11</v>
      </c>
      <c r="F12" s="17">
        <v>22.32</v>
      </c>
      <c r="G12" s="15">
        <v>1.23</v>
      </c>
      <c r="H12" s="18">
        <v>0.02</v>
      </c>
      <c r="I12" s="19">
        <f>Tabella!$H12*2</f>
        <v>0.04</v>
      </c>
    </row>
    <row r="13" spans="1:12" x14ac:dyDescent="0.3">
      <c r="A13" s="20">
        <v>12</v>
      </c>
      <c r="B13" s="21">
        <v>4</v>
      </c>
      <c r="C13" s="22">
        <v>43080</v>
      </c>
      <c r="D13" s="22" t="s">
        <v>8</v>
      </c>
      <c r="E13" s="21" t="s">
        <v>9</v>
      </c>
      <c r="F13" s="23">
        <v>38.14</v>
      </c>
      <c r="G13" s="21">
        <v>3.23</v>
      </c>
      <c r="H13" s="24">
        <v>0.01</v>
      </c>
      <c r="I13" s="25">
        <f>Tabella!$H13*2</f>
        <v>0.02</v>
      </c>
    </row>
    <row r="14" spans="1:12" x14ac:dyDescent="0.3">
      <c r="A14" s="14">
        <v>13</v>
      </c>
      <c r="B14" s="15">
        <v>2</v>
      </c>
      <c r="C14" s="16">
        <v>43451</v>
      </c>
      <c r="D14" s="16" t="s">
        <v>12</v>
      </c>
      <c r="E14" s="15" t="s">
        <v>11</v>
      </c>
      <c r="F14" s="17">
        <v>38.14</v>
      </c>
      <c r="G14" s="15">
        <v>2.42</v>
      </c>
      <c r="H14" s="18">
        <v>0.21</v>
      </c>
      <c r="I14" s="19">
        <f>Tabella!$H14*2</f>
        <v>0.42</v>
      </c>
    </row>
    <row r="15" spans="1:12" x14ac:dyDescent="0.3">
      <c r="A15" s="20">
        <v>14</v>
      </c>
      <c r="B15" s="21">
        <v>5</v>
      </c>
      <c r="C15" s="22">
        <v>43451</v>
      </c>
      <c r="D15" s="22" t="s">
        <v>8</v>
      </c>
      <c r="E15" s="21" t="s">
        <v>9</v>
      </c>
      <c r="F15" s="23">
        <v>38.14</v>
      </c>
      <c r="G15" s="21">
        <v>2.33</v>
      </c>
      <c r="H15" s="24">
        <v>0.38</v>
      </c>
      <c r="I15" s="25">
        <f>Tabella!$H15*2</f>
        <v>0.76</v>
      </c>
    </row>
    <row r="16" spans="1:12" x14ac:dyDescent="0.3">
      <c r="A16" s="14">
        <v>15</v>
      </c>
      <c r="B16" s="15">
        <v>3</v>
      </c>
      <c r="C16" s="16">
        <v>43468</v>
      </c>
      <c r="D16" s="16" t="s">
        <v>14</v>
      </c>
      <c r="E16" s="15" t="s">
        <v>11</v>
      </c>
      <c r="F16" s="17">
        <v>92.32</v>
      </c>
      <c r="G16" s="15">
        <v>3.64</v>
      </c>
      <c r="H16" s="18">
        <v>0.99</v>
      </c>
      <c r="I16" s="19">
        <f>Tabella!$H16*2</f>
        <v>1.98</v>
      </c>
    </row>
    <row r="17" spans="1:9" x14ac:dyDescent="0.3">
      <c r="A17" s="20">
        <v>16</v>
      </c>
      <c r="B17" s="21">
        <v>6</v>
      </c>
      <c r="C17" s="22">
        <v>43468</v>
      </c>
      <c r="D17" s="22" t="s">
        <v>8</v>
      </c>
      <c r="E17" s="21" t="s">
        <v>9</v>
      </c>
      <c r="F17" s="23">
        <v>92.32</v>
      </c>
      <c r="G17" s="21">
        <v>4.12</v>
      </c>
      <c r="H17" s="24">
        <v>0.69</v>
      </c>
      <c r="I17" s="25">
        <f>Tabella!$H17*2</f>
        <v>1.38</v>
      </c>
    </row>
    <row r="18" spans="1:9" x14ac:dyDescent="0.3">
      <c r="A18" s="14">
        <v>17</v>
      </c>
      <c r="B18" s="15">
        <v>6</v>
      </c>
      <c r="C18" s="16">
        <v>43499</v>
      </c>
      <c r="D18" s="16" t="s">
        <v>13</v>
      </c>
      <c r="E18" s="15" t="s">
        <v>11</v>
      </c>
      <c r="F18" s="17">
        <v>50</v>
      </c>
      <c r="G18" s="15">
        <v>1.23</v>
      </c>
      <c r="H18" s="18">
        <v>0.92</v>
      </c>
      <c r="I18" s="19">
        <f>Tabella!$H18*2</f>
        <v>1.84</v>
      </c>
    </row>
    <row r="19" spans="1:9" x14ac:dyDescent="0.3">
      <c r="A19" s="20">
        <v>18</v>
      </c>
      <c r="B19" s="21">
        <v>4</v>
      </c>
      <c r="C19" s="22">
        <v>43527</v>
      </c>
      <c r="D19" s="22" t="s">
        <v>12</v>
      </c>
      <c r="E19" s="21" t="s">
        <v>11</v>
      </c>
      <c r="F19" s="23">
        <v>100</v>
      </c>
      <c r="G19" s="21">
        <v>5.23</v>
      </c>
      <c r="H19" s="24">
        <v>0.82</v>
      </c>
      <c r="I19" s="25">
        <f>Tabella!$H19*2</f>
        <v>1.64</v>
      </c>
    </row>
    <row r="20" spans="1:9" x14ac:dyDescent="0.3">
      <c r="A20" s="14">
        <v>19</v>
      </c>
      <c r="B20" s="15">
        <v>6</v>
      </c>
      <c r="C20" s="16">
        <v>43558</v>
      </c>
      <c r="D20" s="16" t="s">
        <v>13</v>
      </c>
      <c r="E20" s="15" t="s">
        <v>11</v>
      </c>
      <c r="F20" s="17">
        <v>32.56</v>
      </c>
      <c r="G20" s="15">
        <v>3.21</v>
      </c>
      <c r="H20" s="18">
        <v>0.82</v>
      </c>
      <c r="I20" s="19">
        <f>Tabella!$H20*2</f>
        <v>1.64</v>
      </c>
    </row>
    <row r="21" spans="1:9" x14ac:dyDescent="0.3">
      <c r="A21" s="20">
        <v>20</v>
      </c>
      <c r="B21" s="21">
        <v>2</v>
      </c>
      <c r="C21" s="22">
        <v>43588</v>
      </c>
      <c r="D21" s="22" t="s">
        <v>8</v>
      </c>
      <c r="E21" s="21" t="s">
        <v>9</v>
      </c>
      <c r="F21" s="23">
        <v>38.14</v>
      </c>
      <c r="G21" s="21">
        <v>2.41</v>
      </c>
      <c r="H21" s="24">
        <v>0.43</v>
      </c>
      <c r="I21" s="25">
        <f>Tabella!$H21*2</f>
        <v>0.86</v>
      </c>
    </row>
    <row r="22" spans="1:9" x14ac:dyDescent="0.3">
      <c r="A22" s="14">
        <v>21</v>
      </c>
      <c r="B22" s="15">
        <v>6</v>
      </c>
      <c r="C22" s="16">
        <v>43619</v>
      </c>
      <c r="D22" s="16" t="s">
        <v>8</v>
      </c>
      <c r="E22" s="15" t="s">
        <v>9</v>
      </c>
      <c r="F22" s="17">
        <v>39.14</v>
      </c>
      <c r="G22" s="15">
        <v>2.15</v>
      </c>
      <c r="H22" s="18">
        <v>7.0000000000000007E-2</v>
      </c>
      <c r="I22" s="19">
        <f>Tabella!$H22*2</f>
        <v>0.14000000000000001</v>
      </c>
    </row>
    <row r="23" spans="1:9" x14ac:dyDescent="0.3">
      <c r="A23" s="20">
        <v>22</v>
      </c>
      <c r="B23" s="21">
        <v>6</v>
      </c>
      <c r="C23" s="22">
        <v>43649</v>
      </c>
      <c r="D23" s="22" t="s">
        <v>14</v>
      </c>
      <c r="E23" s="21" t="s">
        <v>11</v>
      </c>
      <c r="F23" s="23">
        <v>55.14</v>
      </c>
      <c r="G23" s="21">
        <v>2.3199999999999998</v>
      </c>
      <c r="H23" s="24">
        <v>0.05</v>
      </c>
      <c r="I23" s="25">
        <f>Tabella!$H23*2</f>
        <v>0.1</v>
      </c>
    </row>
    <row r="24" spans="1:9" x14ac:dyDescent="0.3">
      <c r="A24" s="14">
        <v>23</v>
      </c>
      <c r="B24" s="15">
        <v>1</v>
      </c>
      <c r="C24" s="16">
        <v>43680</v>
      </c>
      <c r="D24" s="16" t="s">
        <v>12</v>
      </c>
      <c r="E24" s="15" t="s">
        <v>11</v>
      </c>
      <c r="F24" s="17">
        <v>22.32</v>
      </c>
      <c r="G24" s="15">
        <v>2.0499999999999998</v>
      </c>
      <c r="H24" s="18">
        <v>0.39</v>
      </c>
      <c r="I24" s="19">
        <f>Tabella!$H24*2</f>
        <v>0.78</v>
      </c>
    </row>
    <row r="25" spans="1:9" x14ac:dyDescent="0.3">
      <c r="A25" s="20">
        <v>24</v>
      </c>
      <c r="B25" s="21">
        <v>2</v>
      </c>
      <c r="C25" s="22">
        <v>43711</v>
      </c>
      <c r="D25" s="22" t="s">
        <v>12</v>
      </c>
      <c r="E25" s="21" t="s">
        <v>11</v>
      </c>
      <c r="F25" s="23">
        <v>21.32</v>
      </c>
      <c r="G25" s="21">
        <v>3.21</v>
      </c>
      <c r="H25" s="24">
        <v>0.74</v>
      </c>
      <c r="I25" s="25">
        <f>Tabella!$H25*2</f>
        <v>1.48</v>
      </c>
    </row>
    <row r="26" spans="1:9" x14ac:dyDescent="0.3">
      <c r="A26" s="14">
        <v>25</v>
      </c>
      <c r="B26" s="15">
        <v>3</v>
      </c>
      <c r="C26" s="16">
        <v>43741</v>
      </c>
      <c r="D26" s="16" t="s">
        <v>8</v>
      </c>
      <c r="E26" s="15" t="s">
        <v>9</v>
      </c>
      <c r="F26" s="17">
        <v>22.32</v>
      </c>
      <c r="G26" s="15">
        <v>4.2300000000000004</v>
      </c>
      <c r="H26" s="18">
        <v>0.85</v>
      </c>
      <c r="I26" s="19">
        <f>Tabella!$H26*2</f>
        <v>1.7</v>
      </c>
    </row>
    <row r="27" spans="1:9" x14ac:dyDescent="0.3">
      <c r="A27" s="20">
        <v>26</v>
      </c>
      <c r="B27" s="21">
        <v>1</v>
      </c>
      <c r="C27" s="22">
        <v>43772</v>
      </c>
      <c r="D27" s="22" t="s">
        <v>8</v>
      </c>
      <c r="E27" s="21" t="s">
        <v>9</v>
      </c>
      <c r="F27" s="23">
        <v>72.319999999999993</v>
      </c>
      <c r="G27" s="21">
        <v>5.34</v>
      </c>
      <c r="H27" s="24">
        <v>0.59</v>
      </c>
      <c r="I27" s="25">
        <f>Tabella!$H27*2</f>
        <v>1.18</v>
      </c>
    </row>
    <row r="28" spans="1:9" x14ac:dyDescent="0.3">
      <c r="A28" s="14">
        <v>27</v>
      </c>
      <c r="B28" s="15">
        <v>4</v>
      </c>
      <c r="C28" s="16">
        <v>43802</v>
      </c>
      <c r="D28" s="16" t="s">
        <v>10</v>
      </c>
      <c r="E28" s="15" t="s">
        <v>11</v>
      </c>
      <c r="F28" s="17">
        <v>30.12</v>
      </c>
      <c r="G28" s="15">
        <v>2.7</v>
      </c>
      <c r="H28" s="18">
        <v>0.53</v>
      </c>
      <c r="I28" s="19">
        <f>Tabella!$H28*2</f>
        <v>1.06</v>
      </c>
    </row>
    <row r="29" spans="1:9" x14ac:dyDescent="0.3">
      <c r="A29" s="20">
        <v>28</v>
      </c>
      <c r="B29" s="21">
        <v>1</v>
      </c>
      <c r="C29" s="22">
        <v>43833</v>
      </c>
      <c r="D29" s="22" t="s">
        <v>13</v>
      </c>
      <c r="E29" s="21" t="s">
        <v>11</v>
      </c>
      <c r="F29" s="23">
        <v>22.32</v>
      </c>
      <c r="G29" s="21">
        <v>1.23</v>
      </c>
      <c r="H29" s="24">
        <v>0.55000000000000004</v>
      </c>
      <c r="I29" s="25">
        <f>Tabella!$H29*2</f>
        <v>1.1000000000000001</v>
      </c>
    </row>
    <row r="30" spans="1:9" x14ac:dyDescent="0.3">
      <c r="A30" s="14">
        <v>29</v>
      </c>
      <c r="B30" s="15">
        <v>2</v>
      </c>
      <c r="C30" s="16">
        <v>43864</v>
      </c>
      <c r="D30" s="16" t="s">
        <v>8</v>
      </c>
      <c r="E30" s="15" t="s">
        <v>9</v>
      </c>
      <c r="F30" s="17">
        <v>38.14</v>
      </c>
      <c r="G30" s="15">
        <v>3.23</v>
      </c>
      <c r="H30" s="18">
        <v>0.51</v>
      </c>
      <c r="I30" s="19">
        <f>Tabella!$H30*2</f>
        <v>1.02</v>
      </c>
    </row>
    <row r="31" spans="1:9" x14ac:dyDescent="0.3">
      <c r="A31" s="20">
        <v>30</v>
      </c>
      <c r="B31" s="21">
        <v>6</v>
      </c>
      <c r="C31" s="22">
        <v>43893</v>
      </c>
      <c r="D31" s="22" t="s">
        <v>10</v>
      </c>
      <c r="E31" s="21" t="s">
        <v>11</v>
      </c>
      <c r="F31" s="23">
        <v>38.14</v>
      </c>
      <c r="G31" s="21">
        <v>2.42</v>
      </c>
      <c r="H31" s="24">
        <v>0.2</v>
      </c>
      <c r="I31" s="25">
        <f>Tabella!$H31*2</f>
        <v>0.4</v>
      </c>
    </row>
    <row r="32" spans="1:9" x14ac:dyDescent="0.3">
      <c r="A32" s="14">
        <v>31</v>
      </c>
      <c r="B32" s="15">
        <v>2</v>
      </c>
      <c r="C32" s="16">
        <v>43924</v>
      </c>
      <c r="D32" s="16" t="s">
        <v>8</v>
      </c>
      <c r="E32" s="15" t="s">
        <v>9</v>
      </c>
      <c r="F32" s="17">
        <v>38.14</v>
      </c>
      <c r="G32" s="15">
        <v>2.33</v>
      </c>
      <c r="H32" s="18">
        <v>0.14000000000000001</v>
      </c>
      <c r="I32" s="19">
        <f>Tabella!$H32*2</f>
        <v>0.28000000000000003</v>
      </c>
    </row>
    <row r="33" spans="1:9" x14ac:dyDescent="0.3">
      <c r="A33" s="20">
        <v>32</v>
      </c>
      <c r="B33" s="21">
        <v>3</v>
      </c>
      <c r="C33" s="22">
        <v>43954</v>
      </c>
      <c r="D33" s="22" t="s">
        <v>12</v>
      </c>
      <c r="E33" s="21" t="s">
        <v>11</v>
      </c>
      <c r="F33" s="23">
        <v>92.32</v>
      </c>
      <c r="G33" s="21">
        <v>3.64</v>
      </c>
      <c r="H33" s="24">
        <v>0.62</v>
      </c>
      <c r="I33" s="25">
        <f>Tabella!$H33*2</f>
        <v>1.24</v>
      </c>
    </row>
    <row r="34" spans="1:9" x14ac:dyDescent="0.3">
      <c r="A34" s="14">
        <v>33</v>
      </c>
      <c r="B34" s="15">
        <v>3</v>
      </c>
      <c r="C34" s="16">
        <v>43985</v>
      </c>
      <c r="D34" s="16" t="s">
        <v>8</v>
      </c>
      <c r="E34" s="15" t="s">
        <v>9</v>
      </c>
      <c r="F34" s="17">
        <v>92.32</v>
      </c>
      <c r="G34" s="15">
        <v>4.12</v>
      </c>
      <c r="H34" s="18">
        <v>0.57999999999999996</v>
      </c>
      <c r="I34" s="19">
        <f>Tabella!$H34*2</f>
        <v>1.1599999999999999</v>
      </c>
    </row>
    <row r="35" spans="1:9" x14ac:dyDescent="0.3">
      <c r="A35" s="20">
        <v>34</v>
      </c>
      <c r="B35" s="21">
        <v>6</v>
      </c>
      <c r="C35" s="22">
        <v>44015</v>
      </c>
      <c r="D35" s="22" t="s">
        <v>10</v>
      </c>
      <c r="E35" s="21" t="s">
        <v>11</v>
      </c>
      <c r="F35" s="23">
        <v>50</v>
      </c>
      <c r="G35" s="21">
        <v>1.23</v>
      </c>
      <c r="H35" s="24">
        <v>0.63</v>
      </c>
      <c r="I35" s="25">
        <f>Tabella!$H35*2</f>
        <v>1.26</v>
      </c>
    </row>
    <row r="36" spans="1:9" x14ac:dyDescent="0.3">
      <c r="A36" s="14">
        <v>35</v>
      </c>
      <c r="B36" s="15">
        <v>6</v>
      </c>
      <c r="C36" s="16">
        <v>44046</v>
      </c>
      <c r="D36" s="16" t="s">
        <v>13</v>
      </c>
      <c r="E36" s="15" t="s">
        <v>11</v>
      </c>
      <c r="F36" s="17">
        <v>100</v>
      </c>
      <c r="G36" s="15">
        <v>5.23</v>
      </c>
      <c r="H36" s="18">
        <v>0.39</v>
      </c>
      <c r="I36" s="19">
        <f>Tabella!$H36*2</f>
        <v>0.78</v>
      </c>
    </row>
    <row r="37" spans="1:9" x14ac:dyDescent="0.3">
      <c r="A37" s="20">
        <v>36</v>
      </c>
      <c r="B37" s="21">
        <v>5</v>
      </c>
      <c r="C37" s="22">
        <v>44077</v>
      </c>
      <c r="D37" s="22" t="s">
        <v>10</v>
      </c>
      <c r="E37" s="21" t="s">
        <v>11</v>
      </c>
      <c r="F37" s="23">
        <v>32.56</v>
      </c>
      <c r="G37" s="21">
        <v>3.21</v>
      </c>
      <c r="H37" s="24">
        <v>0.38</v>
      </c>
      <c r="I37" s="25">
        <f>Tabella!$H37*2</f>
        <v>0.76</v>
      </c>
    </row>
    <row r="38" spans="1:9" x14ac:dyDescent="0.3">
      <c r="A38" s="14">
        <v>37</v>
      </c>
      <c r="B38" s="15">
        <v>2</v>
      </c>
      <c r="C38" s="16">
        <v>44107</v>
      </c>
      <c r="D38" s="16" t="s">
        <v>8</v>
      </c>
      <c r="E38" s="15" t="s">
        <v>9</v>
      </c>
      <c r="F38" s="17">
        <v>38.14</v>
      </c>
      <c r="G38" s="15">
        <v>2.41</v>
      </c>
      <c r="H38" s="18">
        <v>0.1</v>
      </c>
      <c r="I38" s="19">
        <f>Tabella!$H38*2</f>
        <v>0.2</v>
      </c>
    </row>
    <row r="39" spans="1:9" x14ac:dyDescent="0.3">
      <c r="A39" s="20">
        <v>38</v>
      </c>
      <c r="B39" s="21">
        <v>3</v>
      </c>
      <c r="C39" s="22">
        <v>44138</v>
      </c>
      <c r="D39" s="22" t="s">
        <v>8</v>
      </c>
      <c r="E39" s="21" t="s">
        <v>9</v>
      </c>
      <c r="F39" s="23">
        <v>39.14</v>
      </c>
      <c r="G39" s="21">
        <v>2.15</v>
      </c>
      <c r="H39" s="24">
        <v>0.95</v>
      </c>
      <c r="I39" s="25">
        <f>Tabella!$H39*2</f>
        <v>1.9</v>
      </c>
    </row>
    <row r="40" spans="1:9" x14ac:dyDescent="0.3">
      <c r="A40" s="14">
        <v>39</v>
      </c>
      <c r="B40" s="15">
        <v>6</v>
      </c>
      <c r="C40" s="16">
        <v>44168</v>
      </c>
      <c r="D40" s="16" t="s">
        <v>14</v>
      </c>
      <c r="E40" s="15" t="s">
        <v>11</v>
      </c>
      <c r="F40" s="17">
        <v>55.14</v>
      </c>
      <c r="G40" s="15">
        <v>2.3199999999999998</v>
      </c>
      <c r="H40" s="18">
        <v>0.56999999999999995</v>
      </c>
      <c r="I40" s="19">
        <f>Tabella!$H40*2</f>
        <v>1.1399999999999999</v>
      </c>
    </row>
    <row r="41" spans="1:9" x14ac:dyDescent="0.3">
      <c r="A41" s="20">
        <v>40</v>
      </c>
      <c r="B41" s="21">
        <v>5</v>
      </c>
      <c r="C41" s="22">
        <v>44199</v>
      </c>
      <c r="D41" s="22" t="s">
        <v>12</v>
      </c>
      <c r="E41" s="21" t="s">
        <v>11</v>
      </c>
      <c r="F41" s="23">
        <v>22.32</v>
      </c>
      <c r="G41" s="21">
        <v>2.0499999999999998</v>
      </c>
      <c r="H41" s="24">
        <v>0.93</v>
      </c>
      <c r="I41" s="25">
        <f>Tabella!$H41*2</f>
        <v>1.86</v>
      </c>
    </row>
    <row r="42" spans="1:9" x14ac:dyDescent="0.3">
      <c r="A42" s="14">
        <v>41</v>
      </c>
      <c r="B42" s="15">
        <v>5</v>
      </c>
      <c r="C42" s="16">
        <v>44230</v>
      </c>
      <c r="D42" s="16" t="s">
        <v>12</v>
      </c>
      <c r="E42" s="15" t="s">
        <v>11</v>
      </c>
      <c r="F42" s="17">
        <v>21.32</v>
      </c>
      <c r="G42" s="15">
        <v>3.21</v>
      </c>
      <c r="H42" s="18">
        <v>0.79</v>
      </c>
      <c r="I42" s="19">
        <f>Tabella!$H42*2</f>
        <v>1.58</v>
      </c>
    </row>
    <row r="43" spans="1:9" x14ac:dyDescent="0.3">
      <c r="A43" s="20">
        <v>42</v>
      </c>
      <c r="B43" s="21">
        <v>1</v>
      </c>
      <c r="C43" s="22">
        <v>44258</v>
      </c>
      <c r="D43" s="22" t="s">
        <v>8</v>
      </c>
      <c r="E43" s="21" t="s">
        <v>9</v>
      </c>
      <c r="F43" s="23">
        <v>22.32</v>
      </c>
      <c r="G43" s="21">
        <v>4.2300000000000004</v>
      </c>
      <c r="H43" s="24">
        <v>0.64</v>
      </c>
      <c r="I43" s="25">
        <f>Tabella!$H43*2</f>
        <v>1.28</v>
      </c>
    </row>
    <row r="44" spans="1:9" x14ac:dyDescent="0.3">
      <c r="A44" s="14">
        <v>43</v>
      </c>
      <c r="B44" s="15">
        <v>5</v>
      </c>
      <c r="C44" s="16">
        <v>44289</v>
      </c>
      <c r="D44" s="16" t="s">
        <v>8</v>
      </c>
      <c r="E44" s="15" t="s">
        <v>9</v>
      </c>
      <c r="F44" s="17">
        <v>72.319999999999993</v>
      </c>
      <c r="G44" s="15">
        <v>5.34</v>
      </c>
      <c r="H44" s="18">
        <v>0.19</v>
      </c>
      <c r="I44" s="19">
        <f>Tabella!$H44*2</f>
        <v>0.38</v>
      </c>
    </row>
    <row r="45" spans="1:9" x14ac:dyDescent="0.3">
      <c r="A45" s="20">
        <v>44</v>
      </c>
      <c r="B45" s="21">
        <v>1</v>
      </c>
      <c r="C45" s="22">
        <v>44319</v>
      </c>
      <c r="D45" s="22" t="s">
        <v>10</v>
      </c>
      <c r="E45" s="21" t="s">
        <v>11</v>
      </c>
      <c r="F45" s="23">
        <v>30.12</v>
      </c>
      <c r="G45" s="21">
        <v>2.7</v>
      </c>
      <c r="H45" s="24">
        <v>0.12</v>
      </c>
      <c r="I45" s="25">
        <f>Tabella!$H45*2</f>
        <v>0.24</v>
      </c>
    </row>
    <row r="46" spans="1:9" x14ac:dyDescent="0.3">
      <c r="A46" s="14">
        <v>45</v>
      </c>
      <c r="B46" s="15">
        <v>6</v>
      </c>
      <c r="C46" s="16">
        <v>44350</v>
      </c>
      <c r="D46" s="16" t="s">
        <v>13</v>
      </c>
      <c r="E46" s="15" t="s">
        <v>11</v>
      </c>
      <c r="F46" s="17">
        <v>22.32</v>
      </c>
      <c r="G46" s="15">
        <v>1.23</v>
      </c>
      <c r="H46" s="18">
        <v>0.65</v>
      </c>
      <c r="I46" s="19">
        <f>Tabella!$H46*2</f>
        <v>1.3</v>
      </c>
    </row>
    <row r="47" spans="1:9" x14ac:dyDescent="0.3">
      <c r="A47" s="20">
        <v>46</v>
      </c>
      <c r="B47" s="21">
        <v>1</v>
      </c>
      <c r="C47" s="22">
        <v>44380</v>
      </c>
      <c r="D47" s="22" t="s">
        <v>8</v>
      </c>
      <c r="E47" s="21" t="s">
        <v>9</v>
      </c>
      <c r="F47" s="23">
        <v>38.14</v>
      </c>
      <c r="G47" s="21">
        <v>3.23</v>
      </c>
      <c r="H47" s="24">
        <v>0.87</v>
      </c>
      <c r="I47" s="25">
        <f>Tabella!$H47*2</f>
        <v>1.74</v>
      </c>
    </row>
    <row r="48" spans="1:9" x14ac:dyDescent="0.3">
      <c r="A48" s="14">
        <v>46</v>
      </c>
      <c r="B48" s="15">
        <v>2</v>
      </c>
      <c r="C48" s="16">
        <v>44411</v>
      </c>
      <c r="D48" s="16" t="s">
        <v>10</v>
      </c>
      <c r="E48" s="15" t="s">
        <v>11</v>
      </c>
      <c r="F48" s="17">
        <v>38.14</v>
      </c>
      <c r="G48" s="15">
        <v>2.42</v>
      </c>
      <c r="H48" s="18">
        <v>0.65</v>
      </c>
      <c r="I48" s="19">
        <f>Tabella!$H48*2</f>
        <v>1.3</v>
      </c>
    </row>
    <row r="49" spans="1:9" x14ac:dyDescent="0.3">
      <c r="A49" s="20">
        <v>48</v>
      </c>
      <c r="B49" s="21">
        <v>6</v>
      </c>
      <c r="C49" s="22">
        <v>44442</v>
      </c>
      <c r="D49" s="22" t="s">
        <v>8</v>
      </c>
      <c r="E49" s="21" t="s">
        <v>9</v>
      </c>
      <c r="F49" s="23">
        <v>38.14</v>
      </c>
      <c r="G49" s="21">
        <v>2.33</v>
      </c>
      <c r="H49" s="24">
        <v>0.51</v>
      </c>
      <c r="I49" s="25">
        <f>Tabella!$H49*2</f>
        <v>1.02</v>
      </c>
    </row>
    <row r="50" spans="1:9" x14ac:dyDescent="0.3">
      <c r="A50" s="14">
        <v>49</v>
      </c>
      <c r="B50" s="15">
        <v>2</v>
      </c>
      <c r="C50" s="16">
        <v>44472</v>
      </c>
      <c r="D50" s="16" t="s">
        <v>12</v>
      </c>
      <c r="E50" s="15" t="s">
        <v>11</v>
      </c>
      <c r="F50" s="17">
        <v>92.32</v>
      </c>
      <c r="G50" s="15">
        <v>3.64</v>
      </c>
      <c r="H50" s="18">
        <v>0.86</v>
      </c>
      <c r="I50" s="19">
        <f>Tabella!$H50*2</f>
        <v>1.72</v>
      </c>
    </row>
    <row r="51" spans="1:9" x14ac:dyDescent="0.3">
      <c r="A51" s="20">
        <v>50</v>
      </c>
      <c r="B51" s="21">
        <v>5</v>
      </c>
      <c r="C51" s="22">
        <v>44503</v>
      </c>
      <c r="D51" s="22" t="s">
        <v>8</v>
      </c>
      <c r="E51" s="21" t="s">
        <v>9</v>
      </c>
      <c r="F51" s="23">
        <v>92.32</v>
      </c>
      <c r="G51" s="21">
        <v>4.12</v>
      </c>
      <c r="H51" s="24">
        <v>0.59</v>
      </c>
      <c r="I51" s="25">
        <f>Tabella!$H51*2</f>
        <v>1.18</v>
      </c>
    </row>
    <row r="52" spans="1:9" x14ac:dyDescent="0.3">
      <c r="A52" s="14">
        <v>51</v>
      </c>
      <c r="B52" s="15">
        <v>4</v>
      </c>
      <c r="C52" s="16">
        <v>44533</v>
      </c>
      <c r="D52" s="16" t="s">
        <v>12</v>
      </c>
      <c r="E52" s="15" t="s">
        <v>11</v>
      </c>
      <c r="F52" s="17">
        <v>50</v>
      </c>
      <c r="G52" s="15">
        <v>1.23</v>
      </c>
      <c r="H52" s="18">
        <v>0.75</v>
      </c>
      <c r="I52" s="19">
        <f>Tabella!$H52*2</f>
        <v>1.5</v>
      </c>
    </row>
    <row r="53" spans="1:9" x14ac:dyDescent="0.3">
      <c r="A53" s="20">
        <v>52</v>
      </c>
      <c r="B53" s="21">
        <v>6</v>
      </c>
      <c r="C53" s="22">
        <v>44564</v>
      </c>
      <c r="D53" s="22" t="s">
        <v>14</v>
      </c>
      <c r="E53" s="21" t="s">
        <v>11</v>
      </c>
      <c r="F53" s="23">
        <v>35.89</v>
      </c>
      <c r="G53" s="21">
        <v>0.57999999999999996</v>
      </c>
      <c r="H53" s="24">
        <v>0.93</v>
      </c>
      <c r="I53" s="25">
        <f>Tabella!$H53*2</f>
        <v>1.86</v>
      </c>
    </row>
    <row r="54" spans="1:9" x14ac:dyDescent="0.3">
      <c r="A54" s="14">
        <v>53</v>
      </c>
      <c r="B54" s="15">
        <v>5</v>
      </c>
      <c r="C54" s="16">
        <v>44595</v>
      </c>
      <c r="D54" s="16" t="s">
        <v>8</v>
      </c>
      <c r="E54" s="15" t="s">
        <v>9</v>
      </c>
      <c r="F54" s="17">
        <v>14.73</v>
      </c>
      <c r="G54" s="15">
        <v>5.34</v>
      </c>
      <c r="H54" s="18">
        <v>0.2</v>
      </c>
      <c r="I54" s="19">
        <f>Tabella!$H54*2</f>
        <v>0.4</v>
      </c>
    </row>
    <row r="55" spans="1:9" x14ac:dyDescent="0.3">
      <c r="A55" s="20">
        <v>54</v>
      </c>
      <c r="B55" s="21">
        <v>4</v>
      </c>
      <c r="C55" s="22">
        <v>44623</v>
      </c>
      <c r="D55" s="22" t="s">
        <v>12</v>
      </c>
      <c r="E55" s="21" t="s">
        <v>11</v>
      </c>
      <c r="F55" s="23">
        <v>10</v>
      </c>
      <c r="G55" s="21">
        <v>2.7</v>
      </c>
      <c r="H55" s="24">
        <v>0.8</v>
      </c>
      <c r="I55" s="25">
        <f>Tabella!$H55*2</f>
        <v>1.6</v>
      </c>
    </row>
    <row r="56" spans="1:9" x14ac:dyDescent="0.3">
      <c r="A56" s="14">
        <v>55</v>
      </c>
      <c r="B56" s="15">
        <v>6</v>
      </c>
      <c r="C56" s="16">
        <v>44654</v>
      </c>
      <c r="D56" s="16" t="s">
        <v>13</v>
      </c>
      <c r="E56" s="15" t="s">
        <v>11</v>
      </c>
      <c r="F56" s="17">
        <v>32.56</v>
      </c>
      <c r="G56" s="15">
        <v>1.23</v>
      </c>
      <c r="H56" s="18">
        <v>0.49</v>
      </c>
      <c r="I56" s="19">
        <f>Tabella!$H56*2</f>
        <v>0.98</v>
      </c>
    </row>
    <row r="57" spans="1:9" x14ac:dyDescent="0.3">
      <c r="A57" s="20">
        <v>56</v>
      </c>
      <c r="B57" s="21">
        <v>4</v>
      </c>
      <c r="C57" s="22">
        <v>44684</v>
      </c>
      <c r="D57" s="22" t="s">
        <v>8</v>
      </c>
      <c r="E57" s="21" t="s">
        <v>9</v>
      </c>
      <c r="F57" s="23">
        <v>38.14</v>
      </c>
      <c r="G57" s="21">
        <v>3.23</v>
      </c>
      <c r="H57" s="24">
        <v>0.79</v>
      </c>
      <c r="I57" s="25">
        <f>Tabella!$H57*2</f>
        <v>1.58</v>
      </c>
    </row>
    <row r="58" spans="1:9" x14ac:dyDescent="0.3">
      <c r="A58" s="14">
        <v>57</v>
      </c>
      <c r="B58" s="15">
        <v>6</v>
      </c>
      <c r="C58" s="16">
        <v>44715</v>
      </c>
      <c r="D58" s="16" t="s">
        <v>10</v>
      </c>
      <c r="E58" s="15" t="s">
        <v>11</v>
      </c>
      <c r="F58" s="17">
        <v>39.14</v>
      </c>
      <c r="G58" s="15">
        <v>2.42</v>
      </c>
      <c r="H58" s="18">
        <v>0.9</v>
      </c>
      <c r="I58" s="19">
        <f>Tabella!$H58*2</f>
        <v>1.8</v>
      </c>
    </row>
    <row r="59" spans="1:9" x14ac:dyDescent="0.3">
      <c r="A59" s="20">
        <v>58</v>
      </c>
      <c r="B59" s="21">
        <v>5</v>
      </c>
      <c r="C59" s="22">
        <v>44745</v>
      </c>
      <c r="D59" s="22" t="s">
        <v>13</v>
      </c>
      <c r="E59" s="21" t="s">
        <v>11</v>
      </c>
      <c r="F59" s="23">
        <v>55.14</v>
      </c>
      <c r="G59" s="21">
        <v>2.33</v>
      </c>
      <c r="H59" s="24">
        <v>0.94</v>
      </c>
      <c r="I59" s="25">
        <f>Tabella!$H59*2</f>
        <v>1.88</v>
      </c>
    </row>
    <row r="60" spans="1:9" x14ac:dyDescent="0.3">
      <c r="A60" s="14">
        <v>59</v>
      </c>
      <c r="B60" s="15">
        <v>1</v>
      </c>
      <c r="C60" s="16">
        <v>44776</v>
      </c>
      <c r="D60" s="16" t="s">
        <v>8</v>
      </c>
      <c r="E60" s="15" t="s">
        <v>9</v>
      </c>
      <c r="F60" s="17">
        <v>22.32</v>
      </c>
      <c r="G60" s="15">
        <v>3.64</v>
      </c>
      <c r="H60" s="18">
        <v>0.51</v>
      </c>
      <c r="I60" s="19">
        <f>Tabella!$H60*2</f>
        <v>1.02</v>
      </c>
    </row>
    <row r="61" spans="1:9" x14ac:dyDescent="0.3">
      <c r="A61" s="20">
        <v>60</v>
      </c>
      <c r="B61" s="21">
        <v>1</v>
      </c>
      <c r="C61" s="22">
        <v>44807</v>
      </c>
      <c r="D61" s="22" t="s">
        <v>12</v>
      </c>
      <c r="E61" s="21" t="s">
        <v>11</v>
      </c>
      <c r="F61" s="23">
        <v>21.32</v>
      </c>
      <c r="G61" s="21">
        <v>4.12</v>
      </c>
      <c r="H61" s="24">
        <v>0.32</v>
      </c>
      <c r="I61" s="25">
        <f>Tabella!$H61*2</f>
        <v>0.64</v>
      </c>
    </row>
    <row r="62" spans="1:9" x14ac:dyDescent="0.3">
      <c r="A62" s="14">
        <v>61</v>
      </c>
      <c r="B62" s="15">
        <v>2</v>
      </c>
      <c r="C62" s="16">
        <v>44837</v>
      </c>
      <c r="D62" s="16" t="s">
        <v>13</v>
      </c>
      <c r="E62" s="15" t="s">
        <v>11</v>
      </c>
      <c r="F62" s="17">
        <v>22.32</v>
      </c>
      <c r="G62" s="15">
        <v>1.23</v>
      </c>
      <c r="H62" s="18">
        <v>0.05</v>
      </c>
      <c r="I62" s="19">
        <f>Tabella!$H62*2</f>
        <v>0.1</v>
      </c>
    </row>
    <row r="63" spans="1:9" x14ac:dyDescent="0.3">
      <c r="A63" s="20">
        <v>62</v>
      </c>
      <c r="B63" s="21">
        <v>3</v>
      </c>
      <c r="C63" s="22">
        <v>44868</v>
      </c>
      <c r="D63" s="22" t="s">
        <v>8</v>
      </c>
      <c r="E63" s="21" t="s">
        <v>9</v>
      </c>
      <c r="F63" s="23">
        <v>72.319999999999993</v>
      </c>
      <c r="G63" s="21">
        <v>0.57999999999999996</v>
      </c>
      <c r="H63" s="24">
        <v>0.4</v>
      </c>
      <c r="I63" s="25">
        <f>Tabella!$H63*2</f>
        <v>0.8</v>
      </c>
    </row>
    <row r="64" spans="1:9" x14ac:dyDescent="0.3">
      <c r="A64" s="14">
        <v>63</v>
      </c>
      <c r="B64" s="15">
        <v>5</v>
      </c>
      <c r="C64" s="16">
        <v>44898</v>
      </c>
      <c r="D64" s="16" t="s">
        <v>10</v>
      </c>
      <c r="E64" s="15" t="s">
        <v>11</v>
      </c>
      <c r="F64" s="17">
        <v>30.12</v>
      </c>
      <c r="G64" s="15">
        <v>2.0499999999999998</v>
      </c>
      <c r="H64" s="18">
        <v>0.91</v>
      </c>
      <c r="I64" s="19">
        <f>Tabella!$H64*2</f>
        <v>1.82</v>
      </c>
    </row>
    <row r="65" spans="1:9" x14ac:dyDescent="0.3">
      <c r="A65" s="20">
        <v>64</v>
      </c>
      <c r="B65" s="21">
        <v>2</v>
      </c>
      <c r="C65" s="22">
        <v>44929</v>
      </c>
      <c r="D65" s="22" t="s">
        <v>10</v>
      </c>
      <c r="E65" s="21" t="s">
        <v>11</v>
      </c>
      <c r="F65" s="23">
        <v>22.32</v>
      </c>
      <c r="G65" s="21">
        <v>3.21</v>
      </c>
      <c r="H65" s="24">
        <v>0.45</v>
      </c>
      <c r="I65" s="25">
        <f>Tabella!$H65*2</f>
        <v>0.9</v>
      </c>
    </row>
    <row r="66" spans="1:9" x14ac:dyDescent="0.3">
      <c r="A66" s="14">
        <v>65</v>
      </c>
      <c r="B66" s="15">
        <v>2</v>
      </c>
      <c r="C66" s="16">
        <v>44960</v>
      </c>
      <c r="D66" s="16" t="s">
        <v>8</v>
      </c>
      <c r="E66" s="15" t="s">
        <v>9</v>
      </c>
      <c r="F66" s="17">
        <v>38.14</v>
      </c>
      <c r="G66" s="15">
        <v>4.2300000000000004</v>
      </c>
      <c r="H66" s="18">
        <v>0.56999999999999995</v>
      </c>
      <c r="I66" s="19">
        <f>Tabella!$H66*2</f>
        <v>1.1399999999999999</v>
      </c>
    </row>
    <row r="67" spans="1:9" x14ac:dyDescent="0.3">
      <c r="A67" s="20">
        <v>66</v>
      </c>
      <c r="B67" s="21">
        <v>1</v>
      </c>
      <c r="C67" s="22">
        <v>44988</v>
      </c>
      <c r="D67" s="22" t="s">
        <v>12</v>
      </c>
      <c r="E67" s="21" t="s">
        <v>11</v>
      </c>
      <c r="F67" s="23">
        <v>38.14</v>
      </c>
      <c r="G67" s="21">
        <v>5.34</v>
      </c>
      <c r="H67" s="24">
        <v>0.1</v>
      </c>
      <c r="I67" s="25">
        <f>Tabella!$H67*2</f>
        <v>0.2</v>
      </c>
    </row>
    <row r="68" spans="1:9" x14ac:dyDescent="0.3">
      <c r="A68" s="14">
        <v>67</v>
      </c>
      <c r="B68" s="15">
        <v>2</v>
      </c>
      <c r="C68" s="16">
        <v>45019</v>
      </c>
      <c r="D68" s="16" t="s">
        <v>13</v>
      </c>
      <c r="E68" s="15" t="s">
        <v>11</v>
      </c>
      <c r="F68" s="17">
        <v>38.14</v>
      </c>
      <c r="G68" s="15">
        <v>2.7</v>
      </c>
      <c r="H68" s="18">
        <v>0.72</v>
      </c>
      <c r="I68" s="19">
        <f>Tabella!$H68*2</f>
        <v>1.44</v>
      </c>
    </row>
    <row r="69" spans="1:9" x14ac:dyDescent="0.3">
      <c r="A69" s="20">
        <v>68</v>
      </c>
      <c r="B69" s="21">
        <v>2</v>
      </c>
      <c r="C69" s="22">
        <v>45049</v>
      </c>
      <c r="D69" s="22" t="s">
        <v>8</v>
      </c>
      <c r="E69" s="21" t="s">
        <v>9</v>
      </c>
      <c r="F69" s="23">
        <v>92.32</v>
      </c>
      <c r="G69" s="21">
        <v>1.23</v>
      </c>
      <c r="H69" s="24">
        <v>0.46</v>
      </c>
      <c r="I69" s="25">
        <f>Tabella!$H69*2</f>
        <v>0.92</v>
      </c>
    </row>
    <row r="70" spans="1:9" x14ac:dyDescent="0.3">
      <c r="A70" s="14">
        <v>69</v>
      </c>
      <c r="B70" s="15">
        <v>1</v>
      </c>
      <c r="C70" s="16">
        <v>45080</v>
      </c>
      <c r="D70" s="16" t="s">
        <v>10</v>
      </c>
      <c r="E70" s="15" t="s">
        <v>11</v>
      </c>
      <c r="F70" s="17">
        <v>92.32</v>
      </c>
      <c r="G70" s="15">
        <v>3.23</v>
      </c>
      <c r="H70" s="18">
        <v>0.5</v>
      </c>
      <c r="I70" s="19">
        <f>Tabella!$H70*2</f>
        <v>1</v>
      </c>
    </row>
    <row r="71" spans="1:9" x14ac:dyDescent="0.3">
      <c r="A71" s="20">
        <v>70</v>
      </c>
      <c r="B71" s="21">
        <v>4</v>
      </c>
      <c r="C71" s="22">
        <v>45110</v>
      </c>
      <c r="D71" s="22" t="s">
        <v>10</v>
      </c>
      <c r="E71" s="21" t="s">
        <v>11</v>
      </c>
      <c r="F71" s="23">
        <v>50</v>
      </c>
      <c r="G71" s="21">
        <v>2.15</v>
      </c>
      <c r="H71" s="24">
        <v>0.67</v>
      </c>
      <c r="I71" s="25">
        <f>Tabella!$H71*2</f>
        <v>1.34</v>
      </c>
    </row>
    <row r="72" spans="1:9" x14ac:dyDescent="0.3">
      <c r="A72" s="14">
        <v>71</v>
      </c>
      <c r="B72" s="15">
        <v>2</v>
      </c>
      <c r="C72" s="16">
        <v>45141</v>
      </c>
      <c r="D72" s="16" t="s">
        <v>8</v>
      </c>
      <c r="E72" s="15" t="s">
        <v>9</v>
      </c>
      <c r="F72" s="17">
        <v>100</v>
      </c>
      <c r="G72" s="15">
        <v>2.3199999999999998</v>
      </c>
      <c r="H72" s="18">
        <v>0.32</v>
      </c>
      <c r="I72" s="19">
        <f>Tabella!$H72*2</f>
        <v>0.64</v>
      </c>
    </row>
    <row r="73" spans="1:9" x14ac:dyDescent="0.3">
      <c r="A73" s="20">
        <v>72</v>
      </c>
      <c r="B73" s="21">
        <v>2</v>
      </c>
      <c r="C73" s="22">
        <v>45172</v>
      </c>
      <c r="D73" s="22" t="s">
        <v>12</v>
      </c>
      <c r="E73" s="21" t="s">
        <v>11</v>
      </c>
      <c r="F73" s="23">
        <v>32.56</v>
      </c>
      <c r="G73" s="21">
        <v>2.0499999999999998</v>
      </c>
      <c r="H73" s="24">
        <v>0.31</v>
      </c>
      <c r="I73" s="25">
        <f>Tabella!$H73*2</f>
        <v>0.62</v>
      </c>
    </row>
    <row r="74" spans="1:9" x14ac:dyDescent="0.3">
      <c r="A74" s="14">
        <v>73</v>
      </c>
      <c r="B74" s="15">
        <v>1</v>
      </c>
      <c r="C74" s="16">
        <v>45202</v>
      </c>
      <c r="D74" s="16" t="s">
        <v>13</v>
      </c>
      <c r="E74" s="15" t="s">
        <v>11</v>
      </c>
      <c r="F74" s="17">
        <v>38.14</v>
      </c>
      <c r="G74" s="15">
        <v>3.21</v>
      </c>
      <c r="H74" s="18">
        <v>0.12</v>
      </c>
      <c r="I74" s="19">
        <f>Tabella!$H74*2</f>
        <v>0.24</v>
      </c>
    </row>
    <row r="75" spans="1:9" x14ac:dyDescent="0.3">
      <c r="A75" s="20">
        <v>74</v>
      </c>
      <c r="B75" s="21">
        <v>5</v>
      </c>
      <c r="C75" s="22">
        <v>45233</v>
      </c>
      <c r="D75" s="22" t="s">
        <v>8</v>
      </c>
      <c r="E75" s="21" t="s">
        <v>9</v>
      </c>
      <c r="F75" s="23">
        <v>39.14</v>
      </c>
      <c r="G75" s="21">
        <v>4.2300000000000004</v>
      </c>
      <c r="H75" s="24">
        <v>0.44</v>
      </c>
      <c r="I75" s="25">
        <f>Tabella!$H75*2</f>
        <v>0.88</v>
      </c>
    </row>
    <row r="76" spans="1:9" x14ac:dyDescent="0.3">
      <c r="A76" s="14">
        <v>75</v>
      </c>
      <c r="B76" s="15">
        <v>6</v>
      </c>
      <c r="C76" s="16">
        <v>45234</v>
      </c>
      <c r="D76" s="16" t="s">
        <v>8</v>
      </c>
      <c r="E76" s="15" t="s">
        <v>9</v>
      </c>
      <c r="F76" s="17">
        <v>2.12</v>
      </c>
      <c r="G76" s="15">
        <v>0</v>
      </c>
      <c r="H76" s="18">
        <v>0.1</v>
      </c>
      <c r="I76" s="19">
        <f>Tabella!$H76*2</f>
        <v>0.2</v>
      </c>
    </row>
    <row r="77" spans="1:9" x14ac:dyDescent="0.3">
      <c r="A77" s="20">
        <v>76</v>
      </c>
      <c r="B77" s="21">
        <v>3</v>
      </c>
      <c r="C77" s="22">
        <v>45235</v>
      </c>
      <c r="D77" s="22" t="s">
        <v>8</v>
      </c>
      <c r="E77" s="21" t="s">
        <v>9</v>
      </c>
      <c r="F77" s="23">
        <v>2.19</v>
      </c>
      <c r="G77" s="21">
        <v>0</v>
      </c>
      <c r="H77" s="24">
        <v>0.35</v>
      </c>
      <c r="I77" s="25">
        <f>Tabella!$H77*2</f>
        <v>0.7</v>
      </c>
    </row>
    <row r="78" spans="1:9" x14ac:dyDescent="0.3">
      <c r="A78" s="14">
        <v>77</v>
      </c>
      <c r="B78" s="15">
        <v>5</v>
      </c>
      <c r="C78" s="16">
        <v>45236</v>
      </c>
      <c r="D78" s="16" t="s">
        <v>8</v>
      </c>
      <c r="E78" s="15" t="s">
        <v>9</v>
      </c>
      <c r="F78" s="17">
        <v>2.12</v>
      </c>
      <c r="G78" s="15">
        <v>0</v>
      </c>
      <c r="H78" s="18">
        <v>0.43</v>
      </c>
      <c r="I78" s="19">
        <f>Tabella!$H78*2</f>
        <v>0.86</v>
      </c>
    </row>
    <row r="79" spans="1:9" x14ac:dyDescent="0.3">
      <c r="A79" s="20">
        <v>78</v>
      </c>
      <c r="B79" s="21">
        <v>4</v>
      </c>
      <c r="C79" s="22">
        <v>45237</v>
      </c>
      <c r="D79" s="22" t="s">
        <v>8</v>
      </c>
      <c r="E79" s="21" t="s">
        <v>9</v>
      </c>
      <c r="F79" s="23">
        <v>3.1</v>
      </c>
      <c r="G79" s="21">
        <v>0</v>
      </c>
      <c r="H79" s="24">
        <v>0.52</v>
      </c>
      <c r="I79" s="25">
        <f>Tabella!$H79*2</f>
        <v>1.04</v>
      </c>
    </row>
    <row r="80" spans="1:9" x14ac:dyDescent="0.3">
      <c r="A80" s="14">
        <v>79</v>
      </c>
      <c r="B80" s="15">
        <v>4</v>
      </c>
      <c r="C80" s="16">
        <v>45238</v>
      </c>
      <c r="D80" s="16" t="s">
        <v>8</v>
      </c>
      <c r="E80" s="15" t="s">
        <v>9</v>
      </c>
      <c r="F80" s="17">
        <v>2.12</v>
      </c>
      <c r="G80" s="15">
        <v>0</v>
      </c>
      <c r="H80" s="18">
        <v>0.28000000000000003</v>
      </c>
      <c r="I80" s="19">
        <f>Tabella!$H80*2</f>
        <v>0.56000000000000005</v>
      </c>
    </row>
    <row r="81" spans="1:9" x14ac:dyDescent="0.3">
      <c r="A81" s="20">
        <v>80</v>
      </c>
      <c r="B81" s="21">
        <v>4</v>
      </c>
      <c r="C81" s="22">
        <v>45239</v>
      </c>
      <c r="D81" s="22" t="s">
        <v>8</v>
      </c>
      <c r="E81" s="21" t="s">
        <v>9</v>
      </c>
      <c r="F81" s="23">
        <v>4.2</v>
      </c>
      <c r="G81" s="21">
        <v>0</v>
      </c>
      <c r="H81" s="24">
        <v>0.87</v>
      </c>
      <c r="I81" s="25">
        <f>Tabella!$H81*2</f>
        <v>1.74</v>
      </c>
    </row>
    <row r="82" spans="1:9" x14ac:dyDescent="0.3">
      <c r="A82" s="14">
        <v>81</v>
      </c>
      <c r="B82" s="15">
        <v>2</v>
      </c>
      <c r="C82" s="16">
        <v>45240</v>
      </c>
      <c r="D82" s="16" t="s">
        <v>8</v>
      </c>
      <c r="E82" s="15" t="s">
        <v>9</v>
      </c>
      <c r="F82" s="17">
        <v>2.12</v>
      </c>
      <c r="G82" s="15">
        <v>0</v>
      </c>
      <c r="H82" s="18">
        <v>0.55000000000000004</v>
      </c>
      <c r="I82" s="19">
        <f>Tabella!$H82*2</f>
        <v>1.1000000000000001</v>
      </c>
    </row>
    <row r="83" spans="1:9" x14ac:dyDescent="0.3">
      <c r="A83" s="20">
        <v>82</v>
      </c>
      <c r="B83" s="21">
        <v>2</v>
      </c>
      <c r="C83" s="22">
        <v>45241</v>
      </c>
      <c r="D83" s="22" t="s">
        <v>8</v>
      </c>
      <c r="E83" s="21" t="s">
        <v>9</v>
      </c>
      <c r="F83" s="23">
        <v>3.1</v>
      </c>
      <c r="G83" s="21">
        <v>0</v>
      </c>
      <c r="H83" s="24">
        <v>0.4</v>
      </c>
      <c r="I83" s="25">
        <f>Tabella!$H83*2</f>
        <v>0.8</v>
      </c>
    </row>
    <row r="84" spans="1:9" x14ac:dyDescent="0.3">
      <c r="A84" s="14">
        <v>83</v>
      </c>
      <c r="B84" s="15">
        <v>1</v>
      </c>
      <c r="C84" s="16">
        <v>45242</v>
      </c>
      <c r="D84" s="16" t="s">
        <v>8</v>
      </c>
      <c r="E84" s="15" t="s">
        <v>9</v>
      </c>
      <c r="F84" s="17">
        <v>2.12</v>
      </c>
      <c r="G84" s="15">
        <v>0</v>
      </c>
      <c r="H84" s="18">
        <v>0.96</v>
      </c>
      <c r="I84" s="19">
        <f>Tabella!$H84*2</f>
        <v>1.92</v>
      </c>
    </row>
    <row r="85" spans="1:9" x14ac:dyDescent="0.3">
      <c r="A85" s="20">
        <v>84</v>
      </c>
      <c r="B85" s="21">
        <v>3</v>
      </c>
      <c r="C85" s="22">
        <v>45243</v>
      </c>
      <c r="D85" s="22" t="s">
        <v>8</v>
      </c>
      <c r="E85" s="21" t="s">
        <v>9</v>
      </c>
      <c r="F85" s="23">
        <v>4.2</v>
      </c>
      <c r="G85" s="21">
        <v>0</v>
      </c>
      <c r="H85" s="24">
        <v>0.8</v>
      </c>
      <c r="I85" s="25">
        <f>Tabella!$H85*2</f>
        <v>1.6</v>
      </c>
    </row>
    <row r="86" spans="1:9" x14ac:dyDescent="0.3">
      <c r="A86" s="14">
        <v>85</v>
      </c>
      <c r="B86" s="15">
        <v>5</v>
      </c>
      <c r="C86" s="16">
        <v>45244</v>
      </c>
      <c r="D86" s="16" t="s">
        <v>8</v>
      </c>
      <c r="E86" s="15" t="s">
        <v>9</v>
      </c>
      <c r="F86" s="17">
        <v>2.12</v>
      </c>
      <c r="G86" s="15">
        <v>0</v>
      </c>
      <c r="H86" s="18">
        <v>0.34</v>
      </c>
      <c r="I86" s="19">
        <f>Tabella!$H86*2</f>
        <v>0.68</v>
      </c>
    </row>
    <row r="87" spans="1:9" x14ac:dyDescent="0.3">
      <c r="A87" s="20">
        <v>86</v>
      </c>
      <c r="B87" s="21">
        <v>6</v>
      </c>
      <c r="C87" s="22">
        <v>45245</v>
      </c>
      <c r="D87" s="22" t="s">
        <v>8</v>
      </c>
      <c r="E87" s="21" t="s">
        <v>9</v>
      </c>
      <c r="F87" s="23">
        <v>3.1</v>
      </c>
      <c r="G87" s="21">
        <v>0</v>
      </c>
      <c r="H87" s="24">
        <v>0.45</v>
      </c>
      <c r="I87" s="25">
        <f>Tabella!$H87*2</f>
        <v>0.9</v>
      </c>
    </row>
    <row r="88" spans="1:9" x14ac:dyDescent="0.3">
      <c r="A88" s="14">
        <v>87</v>
      </c>
      <c r="B88" s="15">
        <v>4</v>
      </c>
      <c r="C88" s="16">
        <v>45246</v>
      </c>
      <c r="D88" s="16" t="s">
        <v>8</v>
      </c>
      <c r="E88" s="15" t="s">
        <v>9</v>
      </c>
      <c r="F88" s="17">
        <v>2.12</v>
      </c>
      <c r="G88" s="15">
        <v>0</v>
      </c>
      <c r="H88" s="18">
        <v>0.4</v>
      </c>
      <c r="I88" s="19">
        <f>Tabella!$H88*2</f>
        <v>0.8</v>
      </c>
    </row>
    <row r="89" spans="1:9" x14ac:dyDescent="0.3">
      <c r="A89" s="20">
        <v>88</v>
      </c>
      <c r="B89" s="21">
        <v>5</v>
      </c>
      <c r="C89" s="22">
        <v>45247</v>
      </c>
      <c r="D89" s="22" t="s">
        <v>8</v>
      </c>
      <c r="E89" s="21" t="s">
        <v>9</v>
      </c>
      <c r="F89" s="23">
        <v>2.12</v>
      </c>
      <c r="G89" s="21">
        <v>0</v>
      </c>
      <c r="H89" s="24">
        <v>0.79</v>
      </c>
      <c r="I89" s="25">
        <f>Tabella!$H89*2</f>
        <v>1.58</v>
      </c>
    </row>
    <row r="90" spans="1:9" x14ac:dyDescent="0.3">
      <c r="A90" s="14">
        <v>89</v>
      </c>
      <c r="B90" s="15">
        <v>5</v>
      </c>
      <c r="C90" s="16">
        <v>45248</v>
      </c>
      <c r="D90" s="16" t="s">
        <v>8</v>
      </c>
      <c r="E90" s="15" t="s">
        <v>9</v>
      </c>
      <c r="F90" s="17">
        <v>4.2</v>
      </c>
      <c r="G90" s="15">
        <v>0</v>
      </c>
      <c r="H90" s="18">
        <v>0.2</v>
      </c>
      <c r="I90" s="19">
        <f>Tabella!$H90*2</f>
        <v>0.4</v>
      </c>
    </row>
    <row r="91" spans="1:9" x14ac:dyDescent="0.3">
      <c r="A91" s="20">
        <v>90</v>
      </c>
      <c r="B91" s="21">
        <v>4</v>
      </c>
      <c r="C91" s="22">
        <v>45249</v>
      </c>
      <c r="D91" s="22" t="s">
        <v>8</v>
      </c>
      <c r="E91" s="21" t="s">
        <v>9</v>
      </c>
      <c r="F91" s="23">
        <v>2.12</v>
      </c>
      <c r="G91" s="21">
        <v>0</v>
      </c>
      <c r="H91" s="24">
        <v>0.13</v>
      </c>
      <c r="I91" s="25">
        <f>Tabella!$H91*2</f>
        <v>0.26</v>
      </c>
    </row>
    <row r="92" spans="1:9" x14ac:dyDescent="0.3">
      <c r="A92" s="14">
        <v>91</v>
      </c>
      <c r="B92" s="15">
        <v>6</v>
      </c>
      <c r="C92" s="16">
        <v>45250</v>
      </c>
      <c r="D92" s="16" t="s">
        <v>8</v>
      </c>
      <c r="E92" s="15" t="s">
        <v>9</v>
      </c>
      <c r="F92" s="17">
        <v>2.12</v>
      </c>
      <c r="G92" s="15">
        <v>0</v>
      </c>
      <c r="H92" s="18">
        <v>0.7</v>
      </c>
      <c r="I92" s="19">
        <f>Tabella!$H92*2</f>
        <v>1.4</v>
      </c>
    </row>
    <row r="93" spans="1:9" x14ac:dyDescent="0.3">
      <c r="A93" s="20">
        <v>92</v>
      </c>
      <c r="B93" s="21">
        <v>1</v>
      </c>
      <c r="C93" s="22">
        <v>45251</v>
      </c>
      <c r="D93" s="22" t="s">
        <v>8</v>
      </c>
      <c r="E93" s="21" t="s">
        <v>9</v>
      </c>
      <c r="F93" s="23">
        <v>4.2</v>
      </c>
      <c r="G93" s="21">
        <v>0</v>
      </c>
      <c r="H93" s="24">
        <v>0.69</v>
      </c>
      <c r="I93" s="25">
        <f>Tabella!$H93*2</f>
        <v>1.38</v>
      </c>
    </row>
    <row r="94" spans="1:9" x14ac:dyDescent="0.3">
      <c r="A94" s="14">
        <v>93</v>
      </c>
      <c r="B94" s="15">
        <v>1</v>
      </c>
      <c r="C94" s="16">
        <v>45252</v>
      </c>
      <c r="D94" s="16" t="s">
        <v>8</v>
      </c>
      <c r="E94" s="15" t="s">
        <v>9</v>
      </c>
      <c r="F94" s="17">
        <v>2.12</v>
      </c>
      <c r="G94" s="15">
        <v>0</v>
      </c>
      <c r="H94" s="18">
        <v>0.76</v>
      </c>
      <c r="I94" s="19">
        <f>Tabella!$H94*2</f>
        <v>1.52</v>
      </c>
    </row>
    <row r="95" spans="1:9" x14ac:dyDescent="0.3">
      <c r="A95" s="20">
        <v>94</v>
      </c>
      <c r="B95" s="21">
        <v>1</v>
      </c>
      <c r="C95" s="22">
        <v>45263</v>
      </c>
      <c r="D95" s="22" t="s">
        <v>10</v>
      </c>
      <c r="E95" s="21" t="s">
        <v>11</v>
      </c>
      <c r="F95" s="23">
        <v>55.14</v>
      </c>
      <c r="G95" s="21">
        <v>5.34</v>
      </c>
      <c r="H95" s="24">
        <v>0.82</v>
      </c>
      <c r="I95" s="25">
        <f>Tabella!$H95*2</f>
        <v>1.64</v>
      </c>
    </row>
    <row r="96" spans="1:9" x14ac:dyDescent="0.3">
      <c r="A96" s="14">
        <v>95</v>
      </c>
      <c r="B96" s="15">
        <v>6</v>
      </c>
      <c r="C96" s="16">
        <v>45294</v>
      </c>
      <c r="D96" s="16" t="s">
        <v>12</v>
      </c>
      <c r="E96" s="15" t="s">
        <v>11</v>
      </c>
      <c r="F96" s="17">
        <v>22.32</v>
      </c>
      <c r="G96" s="15">
        <v>2.7</v>
      </c>
      <c r="H96" s="18">
        <v>0.69</v>
      </c>
      <c r="I96" s="19">
        <f>Tabella!$H96*2</f>
        <v>1.38</v>
      </c>
    </row>
    <row r="97" spans="1:9" x14ac:dyDescent="0.3">
      <c r="A97" s="20">
        <v>96</v>
      </c>
      <c r="B97" s="21">
        <v>4</v>
      </c>
      <c r="C97" s="22">
        <v>45331</v>
      </c>
      <c r="D97" s="22" t="s">
        <v>8</v>
      </c>
      <c r="E97" s="21" t="s">
        <v>9</v>
      </c>
      <c r="F97" s="23">
        <v>21.32</v>
      </c>
      <c r="G97" s="21">
        <v>1.23</v>
      </c>
      <c r="H97" s="24">
        <v>0.5</v>
      </c>
      <c r="I97" s="25">
        <f>Tabella!$H97*2</f>
        <v>1</v>
      </c>
    </row>
    <row r="98" spans="1:9" x14ac:dyDescent="0.3">
      <c r="A98" s="14">
        <v>97</v>
      </c>
      <c r="B98" s="15">
        <v>4</v>
      </c>
      <c r="C98" s="16">
        <v>45354</v>
      </c>
      <c r="D98" s="16" t="s">
        <v>10</v>
      </c>
      <c r="E98" s="15" t="s">
        <v>11</v>
      </c>
      <c r="F98" s="17">
        <v>22.32</v>
      </c>
      <c r="G98" s="15">
        <v>3.23</v>
      </c>
      <c r="H98" s="18">
        <v>0.91</v>
      </c>
      <c r="I98" s="19">
        <f>Tabella!$H98*2</f>
        <v>1.82</v>
      </c>
    </row>
    <row r="99" spans="1:9" x14ac:dyDescent="0.3">
      <c r="A99" s="20">
        <v>98</v>
      </c>
      <c r="B99" s="21">
        <v>6</v>
      </c>
      <c r="C99" s="22">
        <v>45385</v>
      </c>
      <c r="D99" s="22" t="s">
        <v>10</v>
      </c>
      <c r="E99" s="21" t="s">
        <v>11</v>
      </c>
      <c r="F99" s="23">
        <v>72.319999999999993</v>
      </c>
      <c r="G99" s="21">
        <v>2.42</v>
      </c>
      <c r="H99" s="24">
        <v>0.39</v>
      </c>
      <c r="I99" s="25">
        <f>Tabella!$H99*2</f>
        <v>0.78</v>
      </c>
    </row>
    <row r="100" spans="1:9" x14ac:dyDescent="0.3">
      <c r="A100" s="14">
        <v>99</v>
      </c>
      <c r="B100" s="15">
        <v>5</v>
      </c>
      <c r="C100" s="16">
        <v>45415</v>
      </c>
      <c r="D100" s="16" t="s">
        <v>8</v>
      </c>
      <c r="E100" s="15" t="s">
        <v>9</v>
      </c>
      <c r="F100" s="17">
        <v>30.12</v>
      </c>
      <c r="G100" s="15">
        <v>2.33</v>
      </c>
      <c r="H100" s="18">
        <v>0.71</v>
      </c>
      <c r="I100" s="19">
        <f>Tabella!$H100*2</f>
        <v>1.42</v>
      </c>
    </row>
    <row r="101" spans="1:9" x14ac:dyDescent="0.3">
      <c r="A101" s="20">
        <v>100</v>
      </c>
      <c r="B101" s="21">
        <v>5</v>
      </c>
      <c r="C101" s="22">
        <v>45446</v>
      </c>
      <c r="D101" s="22" t="s">
        <v>14</v>
      </c>
      <c r="E101" s="21" t="s">
        <v>11</v>
      </c>
      <c r="F101" s="23">
        <v>22.32</v>
      </c>
      <c r="G101" s="21">
        <v>3.64</v>
      </c>
      <c r="H101" s="24">
        <v>0.84</v>
      </c>
      <c r="I101" s="25">
        <f>Tabella!$H101*2</f>
        <v>1.68</v>
      </c>
    </row>
    <row r="102" spans="1:9" x14ac:dyDescent="0.3">
      <c r="A102" s="14">
        <v>101</v>
      </c>
      <c r="B102" s="15">
        <v>6</v>
      </c>
      <c r="C102" s="16">
        <v>45476</v>
      </c>
      <c r="D102" s="16" t="s">
        <v>12</v>
      </c>
      <c r="E102" s="15" t="s">
        <v>11</v>
      </c>
      <c r="F102" s="17">
        <v>38.14</v>
      </c>
      <c r="G102" s="15">
        <v>4.12</v>
      </c>
      <c r="H102" s="18">
        <v>0.44</v>
      </c>
      <c r="I102" s="19">
        <f>Tabella!$H102*2</f>
        <v>0.88</v>
      </c>
    </row>
    <row r="103" spans="1:9" x14ac:dyDescent="0.3">
      <c r="A103" s="20">
        <v>102</v>
      </c>
      <c r="B103" s="21">
        <v>6</v>
      </c>
      <c r="C103" s="22">
        <v>45507</v>
      </c>
      <c r="D103" s="22" t="s">
        <v>8</v>
      </c>
      <c r="E103" s="21" t="s">
        <v>9</v>
      </c>
      <c r="F103" s="23">
        <v>38.14</v>
      </c>
      <c r="G103" s="21">
        <v>1.23</v>
      </c>
      <c r="H103" s="24">
        <v>0.4</v>
      </c>
      <c r="I103" s="25">
        <f>Tabella!$H103*2</f>
        <v>0.8</v>
      </c>
    </row>
    <row r="104" spans="1:9" x14ac:dyDescent="0.3">
      <c r="A104" s="14">
        <v>103</v>
      </c>
      <c r="B104" s="15">
        <v>3</v>
      </c>
      <c r="C104" s="16">
        <v>45538</v>
      </c>
      <c r="D104" s="16" t="s">
        <v>13</v>
      </c>
      <c r="E104" s="15" t="s">
        <v>11</v>
      </c>
      <c r="F104" s="17">
        <v>38.14</v>
      </c>
      <c r="G104" s="15">
        <v>1.23</v>
      </c>
      <c r="H104" s="18">
        <v>0.57999999999999996</v>
      </c>
      <c r="I104" s="19">
        <f>Tabella!$H104*2</f>
        <v>1.1599999999999999</v>
      </c>
    </row>
    <row r="105" spans="1:9" x14ac:dyDescent="0.3">
      <c r="A105" s="20">
        <v>104</v>
      </c>
      <c r="B105" s="21">
        <v>4</v>
      </c>
      <c r="C105" s="22">
        <v>45568</v>
      </c>
      <c r="D105" s="22" t="s">
        <v>10</v>
      </c>
      <c r="E105" s="21" t="s">
        <v>11</v>
      </c>
      <c r="F105" s="23">
        <v>92.32</v>
      </c>
      <c r="G105" s="21">
        <v>1.23</v>
      </c>
      <c r="H105" s="24">
        <v>0.75</v>
      </c>
      <c r="I105" s="25">
        <f>Tabella!$H105*2</f>
        <v>1.5</v>
      </c>
    </row>
    <row r="106" spans="1:9" x14ac:dyDescent="0.3">
      <c r="A106" s="7">
        <v>105</v>
      </c>
      <c r="B106" s="8"/>
      <c r="C106" s="26"/>
      <c r="D106" s="26"/>
      <c r="E106" s="8" t="s">
        <v>25</v>
      </c>
      <c r="F106" s="27">
        <v>190</v>
      </c>
      <c r="G106" s="8"/>
      <c r="H106" s="28"/>
      <c r="I106" s="29">
        <f>Tabella!$H106*2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F39F-AC1A-44E5-9CBB-92E95CEC59E8}">
  <dimension ref="A1:S105"/>
  <sheetViews>
    <sheetView workbookViewId="0">
      <selection activeCell="M22" sqref="M22"/>
    </sheetView>
  </sheetViews>
  <sheetFormatPr defaultRowHeight="14.4" x14ac:dyDescent="0.3"/>
  <cols>
    <col min="12" max="12" width="9.109375" bestFit="1" customWidth="1"/>
    <col min="13" max="13" width="42.33203125" customWidth="1"/>
    <col min="14" max="14" width="13.6640625" bestFit="1" customWidth="1"/>
    <col min="15" max="15" width="10.77734375" bestFit="1" customWidth="1"/>
    <col min="16" max="16" width="15.6640625" bestFit="1" customWidth="1"/>
    <col min="19" max="19" width="12" bestFit="1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19" x14ac:dyDescent="0.3">
      <c r="A2">
        <v>1</v>
      </c>
      <c r="B2">
        <v>2</v>
      </c>
      <c r="C2" s="4">
        <v>42012</v>
      </c>
      <c r="D2" s="4" t="s">
        <v>8</v>
      </c>
      <c r="E2" t="s">
        <v>9</v>
      </c>
      <c r="F2" s="5">
        <v>35</v>
      </c>
      <c r="G2">
        <v>1.35</v>
      </c>
      <c r="H2" s="6">
        <v>7.0000000000000007E-2</v>
      </c>
      <c r="L2" t="str" cm="1">
        <f t="array" ref="L2:M5">_xlfn._xlws.PY(0,0,A1:H105)</f>
        <v/>
      </c>
      <c r="M2" t="str">
        <v>NumeroFattura</v>
      </c>
    </row>
    <row r="3" spans="1:19" x14ac:dyDescent="0.3">
      <c r="A3">
        <v>2</v>
      </c>
      <c r="B3">
        <v>2</v>
      </c>
      <c r="C3" s="4">
        <v>42012</v>
      </c>
      <c r="D3" s="4" t="s">
        <v>10</v>
      </c>
      <c r="E3" t="s">
        <v>11</v>
      </c>
      <c r="F3" s="5">
        <v>25.17</v>
      </c>
      <c r="G3">
        <v>3.21</v>
      </c>
      <c r="H3" s="6">
        <v>0.16</v>
      </c>
      <c r="L3">
        <v>70</v>
      </c>
      <c r="M3">
        <v>71</v>
      </c>
    </row>
    <row r="4" spans="1:19" x14ac:dyDescent="0.3">
      <c r="A4">
        <v>3</v>
      </c>
      <c r="B4">
        <v>5</v>
      </c>
      <c r="C4" s="4">
        <v>42038</v>
      </c>
      <c r="D4" s="4" t="s">
        <v>8</v>
      </c>
      <c r="E4" t="s">
        <v>9</v>
      </c>
      <c r="F4" s="5">
        <v>38.14</v>
      </c>
      <c r="G4">
        <v>2.41</v>
      </c>
      <c r="H4" s="6">
        <v>0.2</v>
      </c>
      <c r="L4">
        <v>32</v>
      </c>
      <c r="M4">
        <v>33</v>
      </c>
    </row>
    <row r="5" spans="1:19" x14ac:dyDescent="0.3">
      <c r="A5">
        <v>4</v>
      </c>
      <c r="B5">
        <v>4</v>
      </c>
      <c r="C5" s="4">
        <v>42066</v>
      </c>
      <c r="D5" s="4" t="s">
        <v>8</v>
      </c>
      <c r="E5" t="s">
        <v>11</v>
      </c>
      <c r="F5" s="5">
        <v>39.14</v>
      </c>
      <c r="G5">
        <v>2.15</v>
      </c>
      <c r="H5" s="6">
        <v>0.46</v>
      </c>
      <c r="L5">
        <v>49</v>
      </c>
      <c r="M5">
        <v>50</v>
      </c>
    </row>
    <row r="6" spans="1:19" x14ac:dyDescent="0.3">
      <c r="A6">
        <v>5</v>
      </c>
      <c r="B6">
        <v>6</v>
      </c>
      <c r="C6" s="4">
        <v>42467</v>
      </c>
      <c r="D6" s="4" t="s">
        <v>10</v>
      </c>
      <c r="E6" t="s">
        <v>9</v>
      </c>
      <c r="F6" s="5">
        <v>55.14</v>
      </c>
      <c r="G6">
        <v>2.3199999999999998</v>
      </c>
      <c r="H6" s="6">
        <v>0.66</v>
      </c>
    </row>
    <row r="7" spans="1:19" x14ac:dyDescent="0.3">
      <c r="A7">
        <v>6</v>
      </c>
      <c r="B7">
        <v>3</v>
      </c>
      <c r="C7" s="4">
        <v>42491</v>
      </c>
      <c r="D7" s="4" t="s">
        <v>12</v>
      </c>
      <c r="E7" t="s">
        <v>11</v>
      </c>
      <c r="F7" s="5">
        <v>22.32</v>
      </c>
      <c r="G7">
        <v>2.0499999999999998</v>
      </c>
      <c r="H7" s="6">
        <v>0.56999999999999995</v>
      </c>
    </row>
    <row r="8" spans="1:19" x14ac:dyDescent="0.3">
      <c r="A8">
        <v>7</v>
      </c>
      <c r="B8">
        <v>6</v>
      </c>
      <c r="C8" s="4">
        <v>42583</v>
      </c>
      <c r="D8" s="4" t="s">
        <v>10</v>
      </c>
      <c r="E8" t="s">
        <v>11</v>
      </c>
      <c r="F8" s="5">
        <v>21.32</v>
      </c>
      <c r="G8">
        <v>3.21</v>
      </c>
      <c r="H8" s="6">
        <v>0.18</v>
      </c>
    </row>
    <row r="9" spans="1:19" x14ac:dyDescent="0.3">
      <c r="A9">
        <v>8</v>
      </c>
      <c r="B9">
        <v>5</v>
      </c>
      <c r="C9" s="4">
        <v>42654</v>
      </c>
      <c r="D9" s="4" t="s">
        <v>8</v>
      </c>
      <c r="E9" t="s">
        <v>9</v>
      </c>
      <c r="F9" s="5">
        <v>22.32</v>
      </c>
      <c r="G9">
        <v>4.2300000000000004</v>
      </c>
      <c r="H9" s="6">
        <v>0.26</v>
      </c>
    </row>
    <row r="10" spans="1:19" x14ac:dyDescent="0.3">
      <c r="A10">
        <v>9</v>
      </c>
      <c r="B10">
        <v>6</v>
      </c>
      <c r="C10" s="4">
        <v>43019</v>
      </c>
      <c r="D10" s="4" t="s">
        <v>8</v>
      </c>
      <c r="E10" t="s">
        <v>9</v>
      </c>
      <c r="F10" s="5">
        <v>72.319999999999993</v>
      </c>
      <c r="G10">
        <v>5.34</v>
      </c>
      <c r="H10" s="6">
        <v>0.37</v>
      </c>
      <c r="M10" t="str" cm="1">
        <f t="array" ref="M10:S18">_xlfn._xlws.PY(1,0,A1:H105)</f>
        <v/>
      </c>
      <c r="N10" t="str">
        <v>NumeroFattura</v>
      </c>
      <c r="O10" t="str">
        <v>IdCliente</v>
      </c>
      <c r="P10" t="str">
        <v>DataFattura</v>
      </c>
      <c r="Q10" t="str">
        <v>Spesa</v>
      </c>
      <c r="R10" t="str">
        <v>Commissioni</v>
      </c>
      <c r="S10" t="str">
        <v>Percentuale</v>
      </c>
    </row>
    <row r="11" spans="1:19" x14ac:dyDescent="0.3">
      <c r="A11">
        <v>10</v>
      </c>
      <c r="B11">
        <v>1</v>
      </c>
      <c r="C11" s="4">
        <v>43025</v>
      </c>
      <c r="D11" s="4" t="s">
        <v>10</v>
      </c>
      <c r="E11" t="s">
        <v>11</v>
      </c>
      <c r="F11" s="5">
        <v>30.12</v>
      </c>
      <c r="G11">
        <v>2.7</v>
      </c>
      <c r="H11" s="6">
        <v>0.6</v>
      </c>
      <c r="M11" t="str">
        <v>count</v>
      </c>
      <c r="N11">
        <v>104</v>
      </c>
      <c r="O11">
        <v>104</v>
      </c>
      <c r="P11">
        <v>104</v>
      </c>
      <c r="Q11">
        <v>104</v>
      </c>
      <c r="R11">
        <v>104</v>
      </c>
      <c r="S11">
        <v>104</v>
      </c>
    </row>
    <row r="12" spans="1:19" x14ac:dyDescent="0.3">
      <c r="A12">
        <v>11</v>
      </c>
      <c r="B12">
        <v>5</v>
      </c>
      <c r="C12" s="4">
        <v>43025</v>
      </c>
      <c r="D12" s="4" t="s">
        <v>13</v>
      </c>
      <c r="E12" t="s">
        <v>11</v>
      </c>
      <c r="F12" s="5">
        <v>22.32</v>
      </c>
      <c r="G12">
        <v>1.23</v>
      </c>
      <c r="H12" s="6">
        <v>0.02</v>
      </c>
      <c r="M12" t="str">
        <v>mean</v>
      </c>
      <c r="N12">
        <v>52.490384615384613</v>
      </c>
      <c r="O12">
        <v>3.7211538461538463</v>
      </c>
      <c r="P12" vm="1">
        <v>44391.240384615383</v>
      </c>
      <c r="Q12">
        <v>36.743461538461538</v>
      </c>
      <c r="R12">
        <v>2.3203846153846155</v>
      </c>
      <c r="S12">
        <v>0.5178846153846155</v>
      </c>
    </row>
    <row r="13" spans="1:19" x14ac:dyDescent="0.3">
      <c r="A13">
        <v>12</v>
      </c>
      <c r="B13">
        <v>4</v>
      </c>
      <c r="C13" s="4">
        <v>43080</v>
      </c>
      <c r="D13" s="4" t="s">
        <v>8</v>
      </c>
      <c r="E13" t="s">
        <v>9</v>
      </c>
      <c r="F13" s="5">
        <v>38.14</v>
      </c>
      <c r="G13">
        <v>3.23</v>
      </c>
      <c r="H13" s="6">
        <v>0.01</v>
      </c>
      <c r="M13" t="str">
        <v>min</v>
      </c>
      <c r="N13">
        <v>1</v>
      </c>
      <c r="O13">
        <v>1</v>
      </c>
      <c r="P13" vm="2">
        <v>42012</v>
      </c>
      <c r="Q13">
        <v>2.12</v>
      </c>
      <c r="R13">
        <v>0</v>
      </c>
      <c r="S13">
        <v>0.01</v>
      </c>
    </row>
    <row r="14" spans="1:19" x14ac:dyDescent="0.3">
      <c r="A14">
        <v>13</v>
      </c>
      <c r="B14">
        <v>2</v>
      </c>
      <c r="C14" s="4">
        <v>43451</v>
      </c>
      <c r="D14" s="4" t="s">
        <v>12</v>
      </c>
      <c r="E14" t="s">
        <v>11</v>
      </c>
      <c r="F14" s="5">
        <v>38.14</v>
      </c>
      <c r="G14">
        <v>2.42</v>
      </c>
      <c r="H14" s="6">
        <v>0.21</v>
      </c>
      <c r="M14" t="str">
        <v>25%</v>
      </c>
      <c r="N14">
        <v>26.75</v>
      </c>
      <c r="O14">
        <v>2</v>
      </c>
      <c r="P14" vm="3">
        <v>43794.5</v>
      </c>
      <c r="Q14">
        <v>22.07</v>
      </c>
      <c r="R14">
        <v>1.23</v>
      </c>
      <c r="S14">
        <v>0.33500000000000002</v>
      </c>
    </row>
    <row r="15" spans="1:19" x14ac:dyDescent="0.3">
      <c r="A15">
        <v>14</v>
      </c>
      <c r="B15">
        <v>5</v>
      </c>
      <c r="C15" s="4">
        <v>43451</v>
      </c>
      <c r="D15" s="4" t="s">
        <v>8</v>
      </c>
      <c r="E15" t="s">
        <v>9</v>
      </c>
      <c r="F15" s="5">
        <v>38.14</v>
      </c>
      <c r="G15">
        <v>2.33</v>
      </c>
      <c r="H15" s="6">
        <v>0.38</v>
      </c>
      <c r="M15" t="str">
        <v>50%</v>
      </c>
      <c r="N15">
        <v>52.5</v>
      </c>
      <c r="O15">
        <v>4</v>
      </c>
      <c r="P15" vm="4">
        <v>44579.5</v>
      </c>
      <c r="Q15">
        <v>35.445</v>
      </c>
      <c r="R15">
        <v>2.33</v>
      </c>
      <c r="S15">
        <v>0.51500000000000001</v>
      </c>
    </row>
    <row r="16" spans="1:19" x14ac:dyDescent="0.3">
      <c r="A16">
        <v>15</v>
      </c>
      <c r="B16">
        <v>3</v>
      </c>
      <c r="C16" s="4">
        <v>43468</v>
      </c>
      <c r="D16" s="4" t="s">
        <v>14</v>
      </c>
      <c r="E16" t="s">
        <v>11</v>
      </c>
      <c r="F16" s="5">
        <v>92.32</v>
      </c>
      <c r="G16">
        <v>3.64</v>
      </c>
      <c r="H16" s="6">
        <v>0.99</v>
      </c>
      <c r="M16" t="str">
        <v>75%</v>
      </c>
      <c r="N16">
        <v>78.25</v>
      </c>
      <c r="O16">
        <v>5</v>
      </c>
      <c r="P16" vm="5">
        <v>45237.25</v>
      </c>
      <c r="Q16">
        <v>41.855000000000004</v>
      </c>
      <c r="R16">
        <v>3.23</v>
      </c>
      <c r="S16">
        <v>0.74249999999999994</v>
      </c>
    </row>
    <row r="17" spans="1:19" x14ac:dyDescent="0.3">
      <c r="A17">
        <v>16</v>
      </c>
      <c r="B17">
        <v>6</v>
      </c>
      <c r="C17" s="4">
        <v>43468</v>
      </c>
      <c r="D17" s="4" t="s">
        <v>8</v>
      </c>
      <c r="E17" t="s">
        <v>9</v>
      </c>
      <c r="F17" s="5">
        <v>92.32</v>
      </c>
      <c r="G17">
        <v>4.12</v>
      </c>
      <c r="H17" s="6">
        <v>0.69</v>
      </c>
      <c r="M17" t="str">
        <v>max</v>
      </c>
      <c r="N17">
        <v>104</v>
      </c>
      <c r="O17">
        <v>6</v>
      </c>
      <c r="P17" vm="6">
        <v>45568</v>
      </c>
      <c r="Q17">
        <v>100</v>
      </c>
      <c r="R17">
        <v>5.34</v>
      </c>
      <c r="S17">
        <v>0.99</v>
      </c>
    </row>
    <row r="18" spans="1:19" x14ac:dyDescent="0.3">
      <c r="A18">
        <v>17</v>
      </c>
      <c r="B18">
        <v>6</v>
      </c>
      <c r="C18" s="4">
        <v>43499</v>
      </c>
      <c r="D18" s="4" t="s">
        <v>13</v>
      </c>
      <c r="E18" t="s">
        <v>11</v>
      </c>
      <c r="F18" s="5">
        <v>50</v>
      </c>
      <c r="G18">
        <v>1.23</v>
      </c>
      <c r="H18" s="6">
        <v>0.92</v>
      </c>
      <c r="M18" t="str">
        <v>std</v>
      </c>
      <c r="N18">
        <v>30.168135698135547</v>
      </c>
      <c r="O18">
        <v>1.8085918502956768</v>
      </c>
      <c r="P18" t="e">
        <v>#NUM!</v>
      </c>
      <c r="Q18">
        <v>27.260620973532202</v>
      </c>
      <c r="R18">
        <v>1.5649212412806923</v>
      </c>
      <c r="S18">
        <v>0.26768940514165546</v>
      </c>
    </row>
    <row r="19" spans="1:19" x14ac:dyDescent="0.3">
      <c r="A19">
        <v>18</v>
      </c>
      <c r="B19">
        <v>4</v>
      </c>
      <c r="C19" s="4">
        <v>43527</v>
      </c>
      <c r="D19" s="4" t="s">
        <v>12</v>
      </c>
      <c r="E19" t="s">
        <v>11</v>
      </c>
      <c r="F19" s="5">
        <v>100</v>
      </c>
      <c r="G19">
        <v>5.23</v>
      </c>
      <c r="H19" s="6">
        <v>0.82</v>
      </c>
    </row>
    <row r="20" spans="1:19" x14ac:dyDescent="0.3">
      <c r="A20">
        <v>19</v>
      </c>
      <c r="B20">
        <v>6</v>
      </c>
      <c r="C20" s="4">
        <v>43558</v>
      </c>
      <c r="D20" s="4" t="s">
        <v>13</v>
      </c>
      <c r="E20" t="s">
        <v>11</v>
      </c>
      <c r="F20" s="5">
        <v>32.56</v>
      </c>
      <c r="G20">
        <v>3.21</v>
      </c>
      <c r="H20" s="6">
        <v>0.82</v>
      </c>
    </row>
    <row r="21" spans="1:19" x14ac:dyDescent="0.3">
      <c r="A21">
        <v>20</v>
      </c>
      <c r="B21">
        <v>2</v>
      </c>
      <c r="C21" s="4">
        <v>43588</v>
      </c>
      <c r="D21" s="4" t="s">
        <v>8</v>
      </c>
      <c r="E21" t="s">
        <v>9</v>
      </c>
      <c r="F21" s="5">
        <v>38.14</v>
      </c>
      <c r="G21">
        <v>2.41</v>
      </c>
      <c r="H21" s="6">
        <v>0.43</v>
      </c>
    </row>
    <row r="22" spans="1:19" ht="170.4" customHeight="1" x14ac:dyDescent="0.3">
      <c r="A22">
        <v>21</v>
      </c>
      <c r="B22">
        <v>6</v>
      </c>
      <c r="C22" s="4">
        <v>43619</v>
      </c>
      <c r="D22" s="4" t="s">
        <v>8</v>
      </c>
      <c r="E22" t="s">
        <v>9</v>
      </c>
      <c r="F22" s="5">
        <v>39.14</v>
      </c>
      <c r="G22">
        <v>2.15</v>
      </c>
      <c r="H22" s="6">
        <v>7.0000000000000007E-2</v>
      </c>
      <c r="M22" t="e" cm="1" vm="7">
        <f t="array" ref="M22">_xlfn._xlws.PY(2,0,A1:H105)</f>
        <v>#VALUE!</v>
      </c>
    </row>
    <row r="23" spans="1:19" x14ac:dyDescent="0.3">
      <c r="A23">
        <v>22</v>
      </c>
      <c r="B23">
        <v>6</v>
      </c>
      <c r="C23" s="4">
        <v>43649</v>
      </c>
      <c r="D23" s="4" t="s">
        <v>14</v>
      </c>
      <c r="E23" t="s">
        <v>11</v>
      </c>
      <c r="F23" s="5">
        <v>55.14</v>
      </c>
      <c r="G23">
        <v>2.3199999999999998</v>
      </c>
      <c r="H23" s="6">
        <v>0.05</v>
      </c>
    </row>
    <row r="24" spans="1:19" x14ac:dyDescent="0.3">
      <c r="A24">
        <v>23</v>
      </c>
      <c r="B24">
        <v>1</v>
      </c>
      <c r="C24" s="4">
        <v>43680</v>
      </c>
      <c r="D24" s="4" t="s">
        <v>12</v>
      </c>
      <c r="E24" t="s">
        <v>11</v>
      </c>
      <c r="F24" s="5">
        <v>22.32</v>
      </c>
      <c r="G24">
        <v>2.0499999999999998</v>
      </c>
      <c r="H24" s="6">
        <v>0.39</v>
      </c>
    </row>
    <row r="25" spans="1:19" x14ac:dyDescent="0.3">
      <c r="A25">
        <v>24</v>
      </c>
      <c r="B25">
        <v>2</v>
      </c>
      <c r="C25" s="4">
        <v>43711</v>
      </c>
      <c r="D25" s="4" t="s">
        <v>12</v>
      </c>
      <c r="E25" t="s">
        <v>11</v>
      </c>
      <c r="F25" s="5">
        <v>21.32</v>
      </c>
      <c r="G25">
        <v>3.21</v>
      </c>
      <c r="H25" s="6">
        <v>0.74</v>
      </c>
    </row>
    <row r="26" spans="1:19" x14ac:dyDescent="0.3">
      <c r="A26">
        <v>25</v>
      </c>
      <c r="B26">
        <v>3</v>
      </c>
      <c r="C26" s="4">
        <v>43741</v>
      </c>
      <c r="D26" s="4" t="s">
        <v>8</v>
      </c>
      <c r="E26" t="s">
        <v>9</v>
      </c>
      <c r="F26" s="5">
        <v>22.32</v>
      </c>
      <c r="G26">
        <v>4.2300000000000004</v>
      </c>
      <c r="H26" s="6">
        <v>0.85</v>
      </c>
    </row>
    <row r="27" spans="1:19" x14ac:dyDescent="0.3">
      <c r="A27">
        <v>26</v>
      </c>
      <c r="B27">
        <v>1</v>
      </c>
      <c r="C27" s="4">
        <v>43772</v>
      </c>
      <c r="D27" s="4" t="s">
        <v>8</v>
      </c>
      <c r="E27" t="s">
        <v>9</v>
      </c>
      <c r="F27" s="5">
        <v>72.319999999999993</v>
      </c>
      <c r="G27">
        <v>5.34</v>
      </c>
      <c r="H27" s="6">
        <v>0.59</v>
      </c>
    </row>
    <row r="28" spans="1:19" x14ac:dyDescent="0.3">
      <c r="A28">
        <v>27</v>
      </c>
      <c r="B28">
        <v>4</v>
      </c>
      <c r="C28" s="4">
        <v>43802</v>
      </c>
      <c r="D28" s="4" t="s">
        <v>10</v>
      </c>
      <c r="E28" t="s">
        <v>11</v>
      </c>
      <c r="F28" s="5">
        <v>30.12</v>
      </c>
      <c r="G28">
        <v>2.7</v>
      </c>
      <c r="H28" s="6">
        <v>0.53</v>
      </c>
    </row>
    <row r="29" spans="1:19" x14ac:dyDescent="0.3">
      <c r="A29">
        <v>28</v>
      </c>
      <c r="B29">
        <v>1</v>
      </c>
      <c r="C29" s="4">
        <v>43833</v>
      </c>
      <c r="D29" s="4" t="s">
        <v>13</v>
      </c>
      <c r="E29" t="s">
        <v>11</v>
      </c>
      <c r="F29" s="5">
        <v>22.32</v>
      </c>
      <c r="G29">
        <v>1.23</v>
      </c>
      <c r="H29" s="6">
        <v>0.55000000000000004</v>
      </c>
    </row>
    <row r="30" spans="1:19" x14ac:dyDescent="0.3">
      <c r="A30">
        <v>29</v>
      </c>
      <c r="B30">
        <v>2</v>
      </c>
      <c r="C30" s="4">
        <v>43864</v>
      </c>
      <c r="D30" s="4" t="s">
        <v>8</v>
      </c>
      <c r="E30" t="s">
        <v>9</v>
      </c>
      <c r="F30" s="5">
        <v>38.14</v>
      </c>
      <c r="G30">
        <v>3.23</v>
      </c>
      <c r="H30" s="6">
        <v>0.51</v>
      </c>
    </row>
    <row r="31" spans="1:19" x14ac:dyDescent="0.3">
      <c r="A31">
        <v>30</v>
      </c>
      <c r="B31">
        <v>6</v>
      </c>
      <c r="C31" s="4">
        <v>43893</v>
      </c>
      <c r="D31" s="4" t="s">
        <v>10</v>
      </c>
      <c r="E31" t="s">
        <v>11</v>
      </c>
      <c r="F31" s="5">
        <v>38.14</v>
      </c>
      <c r="G31">
        <v>2.42</v>
      </c>
      <c r="H31" s="6">
        <v>0.2</v>
      </c>
    </row>
    <row r="32" spans="1:19" x14ac:dyDescent="0.3">
      <c r="A32">
        <v>31</v>
      </c>
      <c r="B32">
        <v>2</v>
      </c>
      <c r="C32" s="4">
        <v>43924</v>
      </c>
      <c r="D32" s="4" t="s">
        <v>8</v>
      </c>
      <c r="E32" t="s">
        <v>9</v>
      </c>
      <c r="F32" s="5">
        <v>38.14</v>
      </c>
      <c r="G32">
        <v>2.33</v>
      </c>
      <c r="H32" s="6">
        <v>0.14000000000000001</v>
      </c>
    </row>
    <row r="33" spans="1:8" x14ac:dyDescent="0.3">
      <c r="A33">
        <v>32</v>
      </c>
      <c r="B33">
        <v>3</v>
      </c>
      <c r="C33" s="4">
        <v>43954</v>
      </c>
      <c r="D33" s="4" t="s">
        <v>12</v>
      </c>
      <c r="E33" t="s">
        <v>11</v>
      </c>
      <c r="F33" s="5">
        <v>92.32</v>
      </c>
      <c r="G33">
        <v>3.64</v>
      </c>
      <c r="H33" s="6">
        <v>0.62</v>
      </c>
    </row>
    <row r="34" spans="1:8" x14ac:dyDescent="0.3">
      <c r="A34">
        <v>33</v>
      </c>
      <c r="B34">
        <v>3</v>
      </c>
      <c r="C34" s="4">
        <v>43985</v>
      </c>
      <c r="D34" s="4" t="s">
        <v>8</v>
      </c>
      <c r="E34" t="s">
        <v>9</v>
      </c>
      <c r="F34" s="5">
        <v>92.32</v>
      </c>
      <c r="G34">
        <v>4.12</v>
      </c>
      <c r="H34" s="6">
        <v>0.57999999999999996</v>
      </c>
    </row>
    <row r="35" spans="1:8" x14ac:dyDescent="0.3">
      <c r="A35">
        <v>34</v>
      </c>
      <c r="B35">
        <v>6</v>
      </c>
      <c r="C35" s="4">
        <v>44015</v>
      </c>
      <c r="D35" s="4" t="s">
        <v>10</v>
      </c>
      <c r="E35" t="s">
        <v>11</v>
      </c>
      <c r="F35" s="5">
        <v>50</v>
      </c>
      <c r="G35">
        <v>1.23</v>
      </c>
      <c r="H35" s="6">
        <v>0.63</v>
      </c>
    </row>
    <row r="36" spans="1:8" x14ac:dyDescent="0.3">
      <c r="A36">
        <v>35</v>
      </c>
      <c r="B36">
        <v>6</v>
      </c>
      <c r="C36" s="4">
        <v>44046</v>
      </c>
      <c r="D36" s="4" t="s">
        <v>13</v>
      </c>
      <c r="E36" t="s">
        <v>11</v>
      </c>
      <c r="F36" s="5">
        <v>100</v>
      </c>
      <c r="G36">
        <v>5.23</v>
      </c>
      <c r="H36" s="6">
        <v>0.39</v>
      </c>
    </row>
    <row r="37" spans="1:8" x14ac:dyDescent="0.3">
      <c r="A37">
        <v>36</v>
      </c>
      <c r="B37">
        <v>5</v>
      </c>
      <c r="C37" s="4">
        <v>44077</v>
      </c>
      <c r="D37" s="4" t="s">
        <v>10</v>
      </c>
      <c r="E37" t="s">
        <v>11</v>
      </c>
      <c r="F37" s="5">
        <v>32.56</v>
      </c>
      <c r="G37">
        <v>3.21</v>
      </c>
      <c r="H37" s="6">
        <v>0.38</v>
      </c>
    </row>
    <row r="38" spans="1:8" x14ac:dyDescent="0.3">
      <c r="A38">
        <v>37</v>
      </c>
      <c r="B38">
        <v>2</v>
      </c>
      <c r="C38" s="4">
        <v>44107</v>
      </c>
      <c r="D38" s="4" t="s">
        <v>8</v>
      </c>
      <c r="E38" t="s">
        <v>9</v>
      </c>
      <c r="F38" s="5">
        <v>38.14</v>
      </c>
      <c r="G38">
        <v>2.41</v>
      </c>
      <c r="H38" s="6">
        <v>0.1</v>
      </c>
    </row>
    <row r="39" spans="1:8" x14ac:dyDescent="0.3">
      <c r="A39">
        <v>38</v>
      </c>
      <c r="B39">
        <v>3</v>
      </c>
      <c r="C39" s="4">
        <v>44138</v>
      </c>
      <c r="D39" s="4" t="s">
        <v>8</v>
      </c>
      <c r="E39" t="s">
        <v>9</v>
      </c>
      <c r="F39" s="5">
        <v>39.14</v>
      </c>
      <c r="G39">
        <v>2.15</v>
      </c>
      <c r="H39" s="6">
        <v>0.95</v>
      </c>
    </row>
    <row r="40" spans="1:8" x14ac:dyDescent="0.3">
      <c r="A40">
        <v>39</v>
      </c>
      <c r="B40">
        <v>6</v>
      </c>
      <c r="C40" s="4">
        <v>44168</v>
      </c>
      <c r="D40" s="4" t="s">
        <v>14</v>
      </c>
      <c r="E40" t="s">
        <v>11</v>
      </c>
      <c r="F40" s="5">
        <v>55.14</v>
      </c>
      <c r="G40">
        <v>2.3199999999999998</v>
      </c>
      <c r="H40" s="6">
        <v>0.56999999999999995</v>
      </c>
    </row>
    <row r="41" spans="1:8" x14ac:dyDescent="0.3">
      <c r="A41">
        <v>40</v>
      </c>
      <c r="B41">
        <v>5</v>
      </c>
      <c r="C41" s="4">
        <v>44199</v>
      </c>
      <c r="D41" s="4" t="s">
        <v>12</v>
      </c>
      <c r="E41" t="s">
        <v>11</v>
      </c>
      <c r="F41" s="5">
        <v>22.32</v>
      </c>
      <c r="G41">
        <v>2.0499999999999998</v>
      </c>
      <c r="H41" s="6">
        <v>0.93</v>
      </c>
    </row>
    <row r="42" spans="1:8" x14ac:dyDescent="0.3">
      <c r="A42">
        <v>41</v>
      </c>
      <c r="B42">
        <v>5</v>
      </c>
      <c r="C42" s="4">
        <v>44230</v>
      </c>
      <c r="D42" s="4" t="s">
        <v>12</v>
      </c>
      <c r="E42" t="s">
        <v>11</v>
      </c>
      <c r="F42" s="5">
        <v>21.32</v>
      </c>
      <c r="G42">
        <v>3.21</v>
      </c>
      <c r="H42" s="6">
        <v>0.79</v>
      </c>
    </row>
    <row r="43" spans="1:8" x14ac:dyDescent="0.3">
      <c r="A43">
        <v>42</v>
      </c>
      <c r="B43">
        <v>1</v>
      </c>
      <c r="C43" s="4">
        <v>44258</v>
      </c>
      <c r="D43" s="4" t="s">
        <v>8</v>
      </c>
      <c r="E43" t="s">
        <v>9</v>
      </c>
      <c r="F43" s="5">
        <v>22.32</v>
      </c>
      <c r="G43">
        <v>4.2300000000000004</v>
      </c>
      <c r="H43" s="6">
        <v>0.64</v>
      </c>
    </row>
    <row r="44" spans="1:8" x14ac:dyDescent="0.3">
      <c r="A44">
        <v>43</v>
      </c>
      <c r="B44">
        <v>5</v>
      </c>
      <c r="C44" s="4">
        <v>44289</v>
      </c>
      <c r="D44" s="4" t="s">
        <v>8</v>
      </c>
      <c r="E44" t="s">
        <v>9</v>
      </c>
      <c r="F44" s="5">
        <v>72.319999999999993</v>
      </c>
      <c r="G44">
        <v>5.34</v>
      </c>
      <c r="H44" s="6">
        <v>0.19</v>
      </c>
    </row>
    <row r="45" spans="1:8" x14ac:dyDescent="0.3">
      <c r="A45">
        <v>44</v>
      </c>
      <c r="B45">
        <v>1</v>
      </c>
      <c r="C45" s="4">
        <v>44319</v>
      </c>
      <c r="D45" s="4" t="s">
        <v>10</v>
      </c>
      <c r="E45" t="s">
        <v>11</v>
      </c>
      <c r="F45" s="5">
        <v>30.12</v>
      </c>
      <c r="G45">
        <v>2.7</v>
      </c>
      <c r="H45" s="6">
        <v>0.12</v>
      </c>
    </row>
    <row r="46" spans="1:8" x14ac:dyDescent="0.3">
      <c r="A46">
        <v>45</v>
      </c>
      <c r="B46">
        <v>6</v>
      </c>
      <c r="C46" s="4">
        <v>44350</v>
      </c>
      <c r="D46" s="4" t="s">
        <v>13</v>
      </c>
      <c r="E46" t="s">
        <v>11</v>
      </c>
      <c r="F46" s="5">
        <v>22.32</v>
      </c>
      <c r="G46">
        <v>1.23</v>
      </c>
      <c r="H46" s="6">
        <v>0.65</v>
      </c>
    </row>
    <row r="47" spans="1:8" x14ac:dyDescent="0.3">
      <c r="A47">
        <v>46</v>
      </c>
      <c r="B47">
        <v>1</v>
      </c>
      <c r="C47" s="4">
        <v>44380</v>
      </c>
      <c r="D47" s="4" t="s">
        <v>8</v>
      </c>
      <c r="E47" t="s">
        <v>9</v>
      </c>
      <c r="F47" s="5">
        <v>38.14</v>
      </c>
      <c r="G47">
        <v>3.23</v>
      </c>
      <c r="H47" s="6">
        <v>0.87</v>
      </c>
    </row>
    <row r="48" spans="1:8" x14ac:dyDescent="0.3">
      <c r="A48">
        <v>46</v>
      </c>
      <c r="B48">
        <v>2</v>
      </c>
      <c r="C48" s="4">
        <v>44411</v>
      </c>
      <c r="D48" s="4" t="s">
        <v>10</v>
      </c>
      <c r="E48" t="s">
        <v>11</v>
      </c>
      <c r="F48" s="5">
        <v>38.14</v>
      </c>
      <c r="G48">
        <v>2.42</v>
      </c>
      <c r="H48" s="6">
        <v>0.65</v>
      </c>
    </row>
    <row r="49" spans="1:8" x14ac:dyDescent="0.3">
      <c r="A49">
        <v>48</v>
      </c>
      <c r="B49">
        <v>6</v>
      </c>
      <c r="C49" s="4">
        <v>44442</v>
      </c>
      <c r="D49" s="4" t="s">
        <v>8</v>
      </c>
      <c r="E49" t="s">
        <v>9</v>
      </c>
      <c r="F49" s="5">
        <v>38.14</v>
      </c>
      <c r="G49">
        <v>2.33</v>
      </c>
      <c r="H49" s="6">
        <v>0.51</v>
      </c>
    </row>
    <row r="50" spans="1:8" x14ac:dyDescent="0.3">
      <c r="A50">
        <v>49</v>
      </c>
      <c r="B50">
        <v>2</v>
      </c>
      <c r="C50" s="4">
        <v>44472</v>
      </c>
      <c r="D50" s="4" t="s">
        <v>12</v>
      </c>
      <c r="E50" t="s">
        <v>11</v>
      </c>
      <c r="F50" s="5">
        <v>92.32</v>
      </c>
      <c r="G50">
        <v>3.64</v>
      </c>
      <c r="H50" s="6">
        <v>0.86</v>
      </c>
    </row>
    <row r="51" spans="1:8" x14ac:dyDescent="0.3">
      <c r="A51">
        <v>50</v>
      </c>
      <c r="B51">
        <v>5</v>
      </c>
      <c r="C51" s="4">
        <v>44503</v>
      </c>
      <c r="D51" s="4" t="s">
        <v>8</v>
      </c>
      <c r="E51" t="s">
        <v>9</v>
      </c>
      <c r="F51" s="5">
        <v>92.32</v>
      </c>
      <c r="G51">
        <v>4.12</v>
      </c>
      <c r="H51" s="6">
        <v>0.59</v>
      </c>
    </row>
    <row r="52" spans="1:8" x14ac:dyDescent="0.3">
      <c r="A52">
        <v>51</v>
      </c>
      <c r="B52">
        <v>4</v>
      </c>
      <c r="C52" s="4">
        <v>44533</v>
      </c>
      <c r="D52" s="4" t="s">
        <v>12</v>
      </c>
      <c r="E52" t="s">
        <v>11</v>
      </c>
      <c r="F52" s="5">
        <v>50</v>
      </c>
      <c r="G52">
        <v>1.23</v>
      </c>
      <c r="H52" s="6">
        <v>0.75</v>
      </c>
    </row>
    <row r="53" spans="1:8" x14ac:dyDescent="0.3">
      <c r="A53">
        <v>52</v>
      </c>
      <c r="B53">
        <v>6</v>
      </c>
      <c r="C53" s="4">
        <v>44564</v>
      </c>
      <c r="D53" s="4" t="s">
        <v>14</v>
      </c>
      <c r="E53" t="s">
        <v>11</v>
      </c>
      <c r="F53" s="5">
        <v>35.89</v>
      </c>
      <c r="G53">
        <v>0.57999999999999996</v>
      </c>
      <c r="H53" s="6">
        <v>0.93</v>
      </c>
    </row>
    <row r="54" spans="1:8" x14ac:dyDescent="0.3">
      <c r="A54">
        <v>53</v>
      </c>
      <c r="B54">
        <v>5</v>
      </c>
      <c r="C54" s="4">
        <v>44595</v>
      </c>
      <c r="D54" s="4" t="s">
        <v>8</v>
      </c>
      <c r="E54" t="s">
        <v>9</v>
      </c>
      <c r="F54" s="5">
        <v>14.73</v>
      </c>
      <c r="G54">
        <v>5.34</v>
      </c>
      <c r="H54" s="6">
        <v>0.2</v>
      </c>
    </row>
    <row r="55" spans="1:8" x14ac:dyDescent="0.3">
      <c r="A55">
        <v>54</v>
      </c>
      <c r="B55">
        <v>4</v>
      </c>
      <c r="C55" s="4">
        <v>44623</v>
      </c>
      <c r="D55" s="4" t="s">
        <v>12</v>
      </c>
      <c r="E55" t="s">
        <v>11</v>
      </c>
      <c r="F55" s="5">
        <v>10</v>
      </c>
      <c r="G55">
        <v>2.7</v>
      </c>
      <c r="H55" s="6">
        <v>0.8</v>
      </c>
    </row>
    <row r="56" spans="1:8" x14ac:dyDescent="0.3">
      <c r="A56">
        <v>55</v>
      </c>
      <c r="B56">
        <v>6</v>
      </c>
      <c r="C56" s="4">
        <v>44654</v>
      </c>
      <c r="D56" s="4" t="s">
        <v>13</v>
      </c>
      <c r="E56" t="s">
        <v>11</v>
      </c>
      <c r="F56" s="5">
        <v>32.56</v>
      </c>
      <c r="G56">
        <v>1.23</v>
      </c>
      <c r="H56" s="6">
        <v>0.49</v>
      </c>
    </row>
    <row r="57" spans="1:8" x14ac:dyDescent="0.3">
      <c r="A57">
        <v>56</v>
      </c>
      <c r="B57">
        <v>4</v>
      </c>
      <c r="C57" s="4">
        <v>44684</v>
      </c>
      <c r="D57" s="4" t="s">
        <v>8</v>
      </c>
      <c r="E57" t="s">
        <v>9</v>
      </c>
      <c r="F57" s="5">
        <v>38.14</v>
      </c>
      <c r="G57">
        <v>3.23</v>
      </c>
      <c r="H57" s="6">
        <v>0.79</v>
      </c>
    </row>
    <row r="58" spans="1:8" x14ac:dyDescent="0.3">
      <c r="A58">
        <v>57</v>
      </c>
      <c r="B58">
        <v>6</v>
      </c>
      <c r="C58" s="4">
        <v>44715</v>
      </c>
      <c r="D58" s="4" t="s">
        <v>10</v>
      </c>
      <c r="E58" t="s">
        <v>11</v>
      </c>
      <c r="F58" s="5">
        <v>39.14</v>
      </c>
      <c r="G58">
        <v>2.42</v>
      </c>
      <c r="H58" s="6">
        <v>0.9</v>
      </c>
    </row>
    <row r="59" spans="1:8" x14ac:dyDescent="0.3">
      <c r="A59">
        <v>58</v>
      </c>
      <c r="B59">
        <v>5</v>
      </c>
      <c r="C59" s="4">
        <v>44745</v>
      </c>
      <c r="D59" s="4" t="s">
        <v>13</v>
      </c>
      <c r="E59" t="s">
        <v>11</v>
      </c>
      <c r="F59" s="5">
        <v>55.14</v>
      </c>
      <c r="G59">
        <v>2.33</v>
      </c>
      <c r="H59" s="6">
        <v>0.94</v>
      </c>
    </row>
    <row r="60" spans="1:8" x14ac:dyDescent="0.3">
      <c r="A60">
        <v>59</v>
      </c>
      <c r="B60">
        <v>1</v>
      </c>
      <c r="C60" s="4">
        <v>44776</v>
      </c>
      <c r="D60" s="4" t="s">
        <v>8</v>
      </c>
      <c r="E60" t="s">
        <v>9</v>
      </c>
      <c r="F60" s="5">
        <v>22.32</v>
      </c>
      <c r="G60">
        <v>3.64</v>
      </c>
      <c r="H60" s="6">
        <v>0.51</v>
      </c>
    </row>
    <row r="61" spans="1:8" x14ac:dyDescent="0.3">
      <c r="A61">
        <v>60</v>
      </c>
      <c r="B61">
        <v>1</v>
      </c>
      <c r="C61" s="4">
        <v>44807</v>
      </c>
      <c r="D61" s="4" t="s">
        <v>12</v>
      </c>
      <c r="E61" t="s">
        <v>11</v>
      </c>
      <c r="F61" s="5">
        <v>21.32</v>
      </c>
      <c r="G61">
        <v>4.12</v>
      </c>
      <c r="H61" s="6">
        <v>0.32</v>
      </c>
    </row>
    <row r="62" spans="1:8" x14ac:dyDescent="0.3">
      <c r="A62">
        <v>61</v>
      </c>
      <c r="B62">
        <v>2</v>
      </c>
      <c r="C62" s="4">
        <v>44837</v>
      </c>
      <c r="D62" s="4" t="s">
        <v>13</v>
      </c>
      <c r="E62" t="s">
        <v>11</v>
      </c>
      <c r="F62" s="5">
        <v>22.32</v>
      </c>
      <c r="G62">
        <v>1.23</v>
      </c>
      <c r="H62" s="6">
        <v>0.05</v>
      </c>
    </row>
    <row r="63" spans="1:8" x14ac:dyDescent="0.3">
      <c r="A63">
        <v>62</v>
      </c>
      <c r="B63">
        <v>3</v>
      </c>
      <c r="C63" s="4">
        <v>44868</v>
      </c>
      <c r="D63" s="4" t="s">
        <v>8</v>
      </c>
      <c r="E63" t="s">
        <v>9</v>
      </c>
      <c r="F63" s="5">
        <v>72.319999999999993</v>
      </c>
      <c r="G63">
        <v>0.57999999999999996</v>
      </c>
      <c r="H63" s="6">
        <v>0.4</v>
      </c>
    </row>
    <row r="64" spans="1:8" x14ac:dyDescent="0.3">
      <c r="A64">
        <v>63</v>
      </c>
      <c r="B64">
        <v>5</v>
      </c>
      <c r="C64" s="4">
        <v>44898</v>
      </c>
      <c r="D64" s="4" t="s">
        <v>10</v>
      </c>
      <c r="E64" t="s">
        <v>11</v>
      </c>
      <c r="F64" s="5">
        <v>30.12</v>
      </c>
      <c r="G64">
        <v>2.0499999999999998</v>
      </c>
      <c r="H64" s="6">
        <v>0.91</v>
      </c>
    </row>
    <row r="65" spans="1:8" x14ac:dyDescent="0.3">
      <c r="A65">
        <v>64</v>
      </c>
      <c r="B65">
        <v>2</v>
      </c>
      <c r="C65" s="4">
        <v>44929</v>
      </c>
      <c r="D65" s="4" t="s">
        <v>10</v>
      </c>
      <c r="E65" t="s">
        <v>11</v>
      </c>
      <c r="F65" s="5">
        <v>22.32</v>
      </c>
      <c r="G65">
        <v>3.21</v>
      </c>
      <c r="H65" s="6">
        <v>0.45</v>
      </c>
    </row>
    <row r="66" spans="1:8" x14ac:dyDescent="0.3">
      <c r="A66">
        <v>65</v>
      </c>
      <c r="B66">
        <v>2</v>
      </c>
      <c r="C66" s="4">
        <v>44960</v>
      </c>
      <c r="D66" s="4" t="s">
        <v>8</v>
      </c>
      <c r="E66" t="s">
        <v>9</v>
      </c>
      <c r="F66" s="5">
        <v>38.14</v>
      </c>
      <c r="G66">
        <v>4.2300000000000004</v>
      </c>
      <c r="H66" s="6">
        <v>0.56999999999999995</v>
      </c>
    </row>
    <row r="67" spans="1:8" x14ac:dyDescent="0.3">
      <c r="A67">
        <v>66</v>
      </c>
      <c r="B67">
        <v>1</v>
      </c>
      <c r="C67" s="4">
        <v>44988</v>
      </c>
      <c r="D67" s="4" t="s">
        <v>12</v>
      </c>
      <c r="E67" t="s">
        <v>11</v>
      </c>
      <c r="F67" s="5">
        <v>38.14</v>
      </c>
      <c r="G67">
        <v>5.34</v>
      </c>
      <c r="H67" s="6">
        <v>0.1</v>
      </c>
    </row>
    <row r="68" spans="1:8" x14ac:dyDescent="0.3">
      <c r="A68">
        <v>67</v>
      </c>
      <c r="B68">
        <v>2</v>
      </c>
      <c r="C68" s="4">
        <v>45019</v>
      </c>
      <c r="D68" s="4" t="s">
        <v>13</v>
      </c>
      <c r="E68" t="s">
        <v>11</v>
      </c>
      <c r="F68" s="5">
        <v>38.14</v>
      </c>
      <c r="G68">
        <v>2.7</v>
      </c>
      <c r="H68" s="6">
        <v>0.72</v>
      </c>
    </row>
    <row r="69" spans="1:8" x14ac:dyDescent="0.3">
      <c r="A69">
        <v>68</v>
      </c>
      <c r="B69">
        <v>2</v>
      </c>
      <c r="C69" s="4">
        <v>45049</v>
      </c>
      <c r="D69" s="4" t="s">
        <v>8</v>
      </c>
      <c r="E69" t="s">
        <v>9</v>
      </c>
      <c r="F69" s="5">
        <v>92.32</v>
      </c>
      <c r="G69">
        <v>1.23</v>
      </c>
      <c r="H69" s="6">
        <v>0.46</v>
      </c>
    </row>
    <row r="70" spans="1:8" x14ac:dyDescent="0.3">
      <c r="A70">
        <v>69</v>
      </c>
      <c r="B70">
        <v>1</v>
      </c>
      <c r="C70" s="4">
        <v>45080</v>
      </c>
      <c r="D70" s="4" t="s">
        <v>10</v>
      </c>
      <c r="E70" t="s">
        <v>11</v>
      </c>
      <c r="F70" s="5">
        <v>92.32</v>
      </c>
      <c r="G70">
        <v>3.23</v>
      </c>
      <c r="H70" s="6">
        <v>0.5</v>
      </c>
    </row>
    <row r="71" spans="1:8" x14ac:dyDescent="0.3">
      <c r="A71">
        <v>70</v>
      </c>
      <c r="B71">
        <v>4</v>
      </c>
      <c r="C71" s="4">
        <v>45110</v>
      </c>
      <c r="D71" s="4" t="s">
        <v>10</v>
      </c>
      <c r="E71" t="s">
        <v>11</v>
      </c>
      <c r="F71" s="5">
        <v>50</v>
      </c>
      <c r="G71">
        <v>2.15</v>
      </c>
      <c r="H71" s="6">
        <v>0.67</v>
      </c>
    </row>
    <row r="72" spans="1:8" x14ac:dyDescent="0.3">
      <c r="A72">
        <v>71</v>
      </c>
      <c r="B72">
        <v>2</v>
      </c>
      <c r="C72" s="4">
        <v>45141</v>
      </c>
      <c r="D72" s="4" t="s">
        <v>8</v>
      </c>
      <c r="E72" t="s">
        <v>9</v>
      </c>
      <c r="F72" s="5">
        <v>100</v>
      </c>
      <c r="G72">
        <v>2.3199999999999998</v>
      </c>
      <c r="H72" s="6">
        <v>0.32</v>
      </c>
    </row>
    <row r="73" spans="1:8" x14ac:dyDescent="0.3">
      <c r="A73">
        <v>72</v>
      </c>
      <c r="B73">
        <v>2</v>
      </c>
      <c r="C73" s="4">
        <v>45172</v>
      </c>
      <c r="D73" s="4" t="s">
        <v>12</v>
      </c>
      <c r="E73" t="s">
        <v>11</v>
      </c>
      <c r="F73" s="5">
        <v>32.56</v>
      </c>
      <c r="G73">
        <v>2.0499999999999998</v>
      </c>
      <c r="H73" s="6">
        <v>0.31</v>
      </c>
    </row>
    <row r="74" spans="1:8" x14ac:dyDescent="0.3">
      <c r="A74">
        <v>73</v>
      </c>
      <c r="B74">
        <v>1</v>
      </c>
      <c r="C74" s="4">
        <v>45202</v>
      </c>
      <c r="D74" s="4" t="s">
        <v>13</v>
      </c>
      <c r="E74" t="s">
        <v>11</v>
      </c>
      <c r="F74" s="5">
        <v>38.14</v>
      </c>
      <c r="G74">
        <v>3.21</v>
      </c>
      <c r="H74" s="6">
        <v>0.12</v>
      </c>
    </row>
    <row r="75" spans="1:8" x14ac:dyDescent="0.3">
      <c r="A75">
        <v>74</v>
      </c>
      <c r="B75">
        <v>5</v>
      </c>
      <c r="C75" s="4">
        <v>45233</v>
      </c>
      <c r="D75" s="4" t="s">
        <v>8</v>
      </c>
      <c r="E75" t="s">
        <v>9</v>
      </c>
      <c r="F75" s="5">
        <v>39.14</v>
      </c>
      <c r="G75">
        <v>4.2300000000000004</v>
      </c>
      <c r="H75" s="6">
        <v>0.44</v>
      </c>
    </row>
    <row r="76" spans="1:8" x14ac:dyDescent="0.3">
      <c r="A76">
        <v>75</v>
      </c>
      <c r="B76">
        <v>6</v>
      </c>
      <c r="C76" s="4">
        <v>45234</v>
      </c>
      <c r="D76" s="4" t="s">
        <v>8</v>
      </c>
      <c r="E76" t="s">
        <v>9</v>
      </c>
      <c r="F76" s="5">
        <v>2.12</v>
      </c>
      <c r="G76">
        <v>0</v>
      </c>
      <c r="H76" s="6">
        <v>0.1</v>
      </c>
    </row>
    <row r="77" spans="1:8" x14ac:dyDescent="0.3">
      <c r="A77">
        <v>76</v>
      </c>
      <c r="B77">
        <v>3</v>
      </c>
      <c r="C77" s="4">
        <v>45235</v>
      </c>
      <c r="D77" s="4" t="s">
        <v>8</v>
      </c>
      <c r="E77" t="s">
        <v>9</v>
      </c>
      <c r="F77" s="5">
        <v>2.19</v>
      </c>
      <c r="G77">
        <v>0</v>
      </c>
      <c r="H77" s="6">
        <v>0.35</v>
      </c>
    </row>
    <row r="78" spans="1:8" x14ac:dyDescent="0.3">
      <c r="A78">
        <v>77</v>
      </c>
      <c r="B78">
        <v>5</v>
      </c>
      <c r="C78" s="4">
        <v>45236</v>
      </c>
      <c r="D78" s="4" t="s">
        <v>8</v>
      </c>
      <c r="E78" t="s">
        <v>9</v>
      </c>
      <c r="F78" s="5">
        <v>2.12</v>
      </c>
      <c r="G78">
        <v>0</v>
      </c>
      <c r="H78" s="6">
        <v>0.43</v>
      </c>
    </row>
    <row r="79" spans="1:8" x14ac:dyDescent="0.3">
      <c r="A79">
        <v>78</v>
      </c>
      <c r="B79">
        <v>4</v>
      </c>
      <c r="C79" s="4">
        <v>45237</v>
      </c>
      <c r="D79" s="4" t="s">
        <v>8</v>
      </c>
      <c r="E79" t="s">
        <v>9</v>
      </c>
      <c r="F79" s="5">
        <v>3.1</v>
      </c>
      <c r="G79">
        <v>0</v>
      </c>
      <c r="H79" s="6">
        <v>0.52</v>
      </c>
    </row>
    <row r="80" spans="1:8" x14ac:dyDescent="0.3">
      <c r="A80">
        <v>79</v>
      </c>
      <c r="B80">
        <v>4</v>
      </c>
      <c r="C80" s="4">
        <v>45238</v>
      </c>
      <c r="D80" s="4" t="s">
        <v>8</v>
      </c>
      <c r="E80" t="s">
        <v>9</v>
      </c>
      <c r="F80" s="5">
        <v>2.12</v>
      </c>
      <c r="G80">
        <v>0</v>
      </c>
      <c r="H80" s="6">
        <v>0.28000000000000003</v>
      </c>
    </row>
    <row r="81" spans="1:8" x14ac:dyDescent="0.3">
      <c r="A81">
        <v>80</v>
      </c>
      <c r="B81">
        <v>4</v>
      </c>
      <c r="C81" s="4">
        <v>45239</v>
      </c>
      <c r="D81" s="4" t="s">
        <v>8</v>
      </c>
      <c r="E81" t="s">
        <v>9</v>
      </c>
      <c r="F81" s="5">
        <v>4.2</v>
      </c>
      <c r="G81">
        <v>0</v>
      </c>
      <c r="H81" s="6">
        <v>0.87</v>
      </c>
    </row>
    <row r="82" spans="1:8" x14ac:dyDescent="0.3">
      <c r="A82">
        <v>81</v>
      </c>
      <c r="B82">
        <v>2</v>
      </c>
      <c r="C82" s="4">
        <v>45240</v>
      </c>
      <c r="D82" s="4" t="s">
        <v>8</v>
      </c>
      <c r="E82" t="s">
        <v>9</v>
      </c>
      <c r="F82" s="5">
        <v>2.12</v>
      </c>
      <c r="G82">
        <v>0</v>
      </c>
      <c r="H82" s="6">
        <v>0.55000000000000004</v>
      </c>
    </row>
    <row r="83" spans="1:8" x14ac:dyDescent="0.3">
      <c r="A83">
        <v>82</v>
      </c>
      <c r="B83">
        <v>2</v>
      </c>
      <c r="C83" s="4">
        <v>45241</v>
      </c>
      <c r="D83" s="4" t="s">
        <v>8</v>
      </c>
      <c r="E83" t="s">
        <v>9</v>
      </c>
      <c r="F83" s="5">
        <v>3.1</v>
      </c>
      <c r="G83">
        <v>0</v>
      </c>
      <c r="H83" s="6">
        <v>0.4</v>
      </c>
    </row>
    <row r="84" spans="1:8" x14ac:dyDescent="0.3">
      <c r="A84">
        <v>83</v>
      </c>
      <c r="B84">
        <v>1</v>
      </c>
      <c r="C84" s="4">
        <v>45242</v>
      </c>
      <c r="D84" s="4" t="s">
        <v>8</v>
      </c>
      <c r="E84" t="s">
        <v>9</v>
      </c>
      <c r="F84" s="5">
        <v>2.12</v>
      </c>
      <c r="G84">
        <v>0</v>
      </c>
      <c r="H84" s="6">
        <v>0.96</v>
      </c>
    </row>
    <row r="85" spans="1:8" x14ac:dyDescent="0.3">
      <c r="A85">
        <v>84</v>
      </c>
      <c r="B85">
        <v>3</v>
      </c>
      <c r="C85" s="4">
        <v>45243</v>
      </c>
      <c r="D85" s="4" t="s">
        <v>8</v>
      </c>
      <c r="E85" t="s">
        <v>9</v>
      </c>
      <c r="F85" s="5">
        <v>4.2</v>
      </c>
      <c r="G85">
        <v>0</v>
      </c>
      <c r="H85" s="6">
        <v>0.8</v>
      </c>
    </row>
    <row r="86" spans="1:8" x14ac:dyDescent="0.3">
      <c r="A86">
        <v>85</v>
      </c>
      <c r="B86">
        <v>5</v>
      </c>
      <c r="C86" s="4">
        <v>45244</v>
      </c>
      <c r="D86" s="4" t="s">
        <v>8</v>
      </c>
      <c r="E86" t="s">
        <v>9</v>
      </c>
      <c r="F86" s="5">
        <v>2.12</v>
      </c>
      <c r="G86">
        <v>0</v>
      </c>
      <c r="H86" s="6">
        <v>0.34</v>
      </c>
    </row>
    <row r="87" spans="1:8" x14ac:dyDescent="0.3">
      <c r="A87">
        <v>86</v>
      </c>
      <c r="B87">
        <v>6</v>
      </c>
      <c r="C87" s="4">
        <v>45245</v>
      </c>
      <c r="D87" s="4" t="s">
        <v>8</v>
      </c>
      <c r="E87" t="s">
        <v>9</v>
      </c>
      <c r="F87" s="5">
        <v>3.1</v>
      </c>
      <c r="G87">
        <v>0</v>
      </c>
      <c r="H87" s="6">
        <v>0.45</v>
      </c>
    </row>
    <row r="88" spans="1:8" x14ac:dyDescent="0.3">
      <c r="A88">
        <v>87</v>
      </c>
      <c r="B88">
        <v>4</v>
      </c>
      <c r="C88" s="4">
        <v>45246</v>
      </c>
      <c r="D88" s="4" t="s">
        <v>8</v>
      </c>
      <c r="E88" t="s">
        <v>9</v>
      </c>
      <c r="F88" s="5">
        <v>2.12</v>
      </c>
      <c r="G88">
        <v>0</v>
      </c>
      <c r="H88" s="6">
        <v>0.4</v>
      </c>
    </row>
    <row r="89" spans="1:8" x14ac:dyDescent="0.3">
      <c r="A89">
        <v>88</v>
      </c>
      <c r="B89">
        <v>5</v>
      </c>
      <c r="C89" s="4">
        <v>45247</v>
      </c>
      <c r="D89" s="4" t="s">
        <v>8</v>
      </c>
      <c r="E89" t="s">
        <v>9</v>
      </c>
      <c r="F89" s="5">
        <v>2.12</v>
      </c>
      <c r="G89">
        <v>0</v>
      </c>
      <c r="H89" s="6">
        <v>0.79</v>
      </c>
    </row>
    <row r="90" spans="1:8" x14ac:dyDescent="0.3">
      <c r="A90">
        <v>89</v>
      </c>
      <c r="B90">
        <v>5</v>
      </c>
      <c r="C90" s="4">
        <v>45248</v>
      </c>
      <c r="D90" s="4" t="s">
        <v>8</v>
      </c>
      <c r="E90" t="s">
        <v>9</v>
      </c>
      <c r="F90" s="5">
        <v>4.2</v>
      </c>
      <c r="G90">
        <v>0</v>
      </c>
      <c r="H90" s="6">
        <v>0.2</v>
      </c>
    </row>
    <row r="91" spans="1:8" x14ac:dyDescent="0.3">
      <c r="A91">
        <v>90</v>
      </c>
      <c r="B91">
        <v>4</v>
      </c>
      <c r="C91" s="4">
        <v>45249</v>
      </c>
      <c r="D91" s="4" t="s">
        <v>8</v>
      </c>
      <c r="E91" t="s">
        <v>9</v>
      </c>
      <c r="F91" s="5">
        <v>2.12</v>
      </c>
      <c r="G91">
        <v>0</v>
      </c>
      <c r="H91" s="6">
        <v>0.13</v>
      </c>
    </row>
    <row r="92" spans="1:8" x14ac:dyDescent="0.3">
      <c r="A92">
        <v>91</v>
      </c>
      <c r="B92">
        <v>6</v>
      </c>
      <c r="C92" s="4">
        <v>45250</v>
      </c>
      <c r="D92" s="4" t="s">
        <v>8</v>
      </c>
      <c r="E92" t="s">
        <v>9</v>
      </c>
      <c r="F92" s="5">
        <v>2.12</v>
      </c>
      <c r="G92">
        <v>0</v>
      </c>
      <c r="H92" s="6">
        <v>0.7</v>
      </c>
    </row>
    <row r="93" spans="1:8" x14ac:dyDescent="0.3">
      <c r="A93">
        <v>92</v>
      </c>
      <c r="B93">
        <v>1</v>
      </c>
      <c r="C93" s="4">
        <v>45251</v>
      </c>
      <c r="D93" s="4" t="s">
        <v>8</v>
      </c>
      <c r="E93" t="s">
        <v>9</v>
      </c>
      <c r="F93" s="5">
        <v>4.2</v>
      </c>
      <c r="G93">
        <v>0</v>
      </c>
      <c r="H93" s="6">
        <v>0.69</v>
      </c>
    </row>
    <row r="94" spans="1:8" x14ac:dyDescent="0.3">
      <c r="A94">
        <v>93</v>
      </c>
      <c r="B94">
        <v>1</v>
      </c>
      <c r="C94" s="4">
        <v>45252</v>
      </c>
      <c r="D94" s="4" t="s">
        <v>8</v>
      </c>
      <c r="E94" t="s">
        <v>9</v>
      </c>
      <c r="F94" s="5">
        <v>2.12</v>
      </c>
      <c r="G94">
        <v>0</v>
      </c>
      <c r="H94" s="6">
        <v>0.76</v>
      </c>
    </row>
    <row r="95" spans="1:8" x14ac:dyDescent="0.3">
      <c r="A95">
        <v>94</v>
      </c>
      <c r="B95">
        <v>1</v>
      </c>
      <c r="C95" s="4">
        <v>45263</v>
      </c>
      <c r="D95" s="4" t="s">
        <v>10</v>
      </c>
      <c r="E95" t="s">
        <v>11</v>
      </c>
      <c r="F95" s="5">
        <v>55.14</v>
      </c>
      <c r="G95">
        <v>5.34</v>
      </c>
      <c r="H95" s="6">
        <v>0.82</v>
      </c>
    </row>
    <row r="96" spans="1:8" x14ac:dyDescent="0.3">
      <c r="A96">
        <v>95</v>
      </c>
      <c r="B96">
        <v>6</v>
      </c>
      <c r="C96" s="4">
        <v>45294</v>
      </c>
      <c r="D96" s="4" t="s">
        <v>12</v>
      </c>
      <c r="E96" t="s">
        <v>11</v>
      </c>
      <c r="F96" s="5">
        <v>22.32</v>
      </c>
      <c r="G96">
        <v>2.7</v>
      </c>
      <c r="H96" s="6">
        <v>0.69</v>
      </c>
    </row>
    <row r="97" spans="1:8" x14ac:dyDescent="0.3">
      <c r="A97">
        <v>96</v>
      </c>
      <c r="B97">
        <v>4</v>
      </c>
      <c r="C97" s="4">
        <v>45331</v>
      </c>
      <c r="D97" s="4" t="s">
        <v>8</v>
      </c>
      <c r="E97" t="s">
        <v>9</v>
      </c>
      <c r="F97" s="5">
        <v>21.32</v>
      </c>
      <c r="G97">
        <v>1.23</v>
      </c>
      <c r="H97" s="6">
        <v>0.5</v>
      </c>
    </row>
    <row r="98" spans="1:8" x14ac:dyDescent="0.3">
      <c r="A98">
        <v>97</v>
      </c>
      <c r="B98">
        <v>4</v>
      </c>
      <c r="C98" s="4">
        <v>45354</v>
      </c>
      <c r="D98" s="4" t="s">
        <v>10</v>
      </c>
      <c r="E98" t="s">
        <v>11</v>
      </c>
      <c r="F98" s="5">
        <v>22.32</v>
      </c>
      <c r="G98">
        <v>3.23</v>
      </c>
      <c r="H98" s="6">
        <v>0.91</v>
      </c>
    </row>
    <row r="99" spans="1:8" x14ac:dyDescent="0.3">
      <c r="A99">
        <v>98</v>
      </c>
      <c r="B99">
        <v>6</v>
      </c>
      <c r="C99" s="4">
        <v>45385</v>
      </c>
      <c r="D99" s="4" t="s">
        <v>10</v>
      </c>
      <c r="E99" t="s">
        <v>11</v>
      </c>
      <c r="F99" s="5">
        <v>72.319999999999993</v>
      </c>
      <c r="G99">
        <v>2.42</v>
      </c>
      <c r="H99" s="6">
        <v>0.39</v>
      </c>
    </row>
    <row r="100" spans="1:8" x14ac:dyDescent="0.3">
      <c r="A100">
        <v>99</v>
      </c>
      <c r="B100">
        <v>5</v>
      </c>
      <c r="C100" s="4">
        <v>45415</v>
      </c>
      <c r="D100" s="4" t="s">
        <v>8</v>
      </c>
      <c r="E100" t="s">
        <v>9</v>
      </c>
      <c r="F100" s="5">
        <v>30.12</v>
      </c>
      <c r="G100">
        <v>2.33</v>
      </c>
      <c r="H100" s="6">
        <v>0.71</v>
      </c>
    </row>
    <row r="101" spans="1:8" x14ac:dyDescent="0.3">
      <c r="A101">
        <v>100</v>
      </c>
      <c r="B101">
        <v>5</v>
      </c>
      <c r="C101" s="4">
        <v>45446</v>
      </c>
      <c r="D101" s="4" t="s">
        <v>14</v>
      </c>
      <c r="E101" t="s">
        <v>11</v>
      </c>
      <c r="F101" s="5">
        <v>22.32</v>
      </c>
      <c r="G101">
        <v>3.64</v>
      </c>
      <c r="H101" s="6">
        <v>0.84</v>
      </c>
    </row>
    <row r="102" spans="1:8" x14ac:dyDescent="0.3">
      <c r="A102">
        <v>101</v>
      </c>
      <c r="B102">
        <v>6</v>
      </c>
      <c r="C102" s="4">
        <v>45476</v>
      </c>
      <c r="D102" s="4" t="s">
        <v>12</v>
      </c>
      <c r="E102" t="s">
        <v>11</v>
      </c>
      <c r="F102" s="5">
        <v>38.14</v>
      </c>
      <c r="G102">
        <v>4.12</v>
      </c>
      <c r="H102" s="6">
        <v>0.44</v>
      </c>
    </row>
    <row r="103" spans="1:8" x14ac:dyDescent="0.3">
      <c r="A103">
        <v>102</v>
      </c>
      <c r="B103">
        <v>6</v>
      </c>
      <c r="C103" s="4">
        <v>45507</v>
      </c>
      <c r="D103" s="4" t="s">
        <v>8</v>
      </c>
      <c r="E103" t="s">
        <v>9</v>
      </c>
      <c r="F103" s="5">
        <v>38.14</v>
      </c>
      <c r="G103">
        <v>1.23</v>
      </c>
      <c r="H103" s="6">
        <v>0.4</v>
      </c>
    </row>
    <row r="104" spans="1:8" x14ac:dyDescent="0.3">
      <c r="A104">
        <v>103</v>
      </c>
      <c r="B104">
        <v>3</v>
      </c>
      <c r="C104" s="4">
        <v>45538</v>
      </c>
      <c r="D104" s="4" t="s">
        <v>13</v>
      </c>
      <c r="E104" t="s">
        <v>11</v>
      </c>
      <c r="F104" s="5">
        <v>38.14</v>
      </c>
      <c r="G104">
        <v>1.23</v>
      </c>
      <c r="H104" s="6">
        <v>0.57999999999999996</v>
      </c>
    </row>
    <row r="105" spans="1:8" x14ac:dyDescent="0.3">
      <c r="A105">
        <v>104</v>
      </c>
      <c r="B105">
        <v>4</v>
      </c>
      <c r="C105" s="4">
        <v>45568</v>
      </c>
      <c r="D105" s="4" t="s">
        <v>10</v>
      </c>
      <c r="E105" t="s">
        <v>11</v>
      </c>
      <c r="F105" s="5">
        <v>92.32</v>
      </c>
      <c r="G105">
        <v>1.23</v>
      </c>
      <c r="H105" s="6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6915-8085-4741-9BAC-BA4003F160D8}">
  <dimension ref="A1:C7"/>
  <sheetViews>
    <sheetView workbookViewId="0"/>
  </sheetViews>
  <sheetFormatPr defaultRowHeight="14.4" x14ac:dyDescent="0.3"/>
  <cols>
    <col min="1" max="1" width="9" bestFit="1" customWidth="1"/>
  </cols>
  <sheetData>
    <row r="1" spans="1:3" x14ac:dyDescent="0.3">
      <c r="A1" s="1" t="s">
        <v>1</v>
      </c>
      <c r="B1" s="1" t="s">
        <v>15</v>
      </c>
      <c r="C1" s="1" t="s">
        <v>21</v>
      </c>
    </row>
    <row r="2" spans="1:3" x14ac:dyDescent="0.3">
      <c r="A2">
        <v>1</v>
      </c>
      <c r="B2" t="s">
        <v>16</v>
      </c>
      <c r="C2" t="s">
        <v>22</v>
      </c>
    </row>
    <row r="3" spans="1:3" x14ac:dyDescent="0.3">
      <c r="A3">
        <v>2</v>
      </c>
      <c r="B3" t="s">
        <v>17</v>
      </c>
      <c r="C3" t="s">
        <v>23</v>
      </c>
    </row>
    <row r="4" spans="1:3" x14ac:dyDescent="0.3">
      <c r="A4">
        <v>3</v>
      </c>
      <c r="B4" t="s">
        <v>18</v>
      </c>
      <c r="C4" t="s">
        <v>22</v>
      </c>
    </row>
    <row r="5" spans="1:3" x14ac:dyDescent="0.3">
      <c r="A5">
        <v>4</v>
      </c>
      <c r="B5" t="s">
        <v>19</v>
      </c>
      <c r="C5" t="s">
        <v>24</v>
      </c>
    </row>
    <row r="6" spans="1:3" x14ac:dyDescent="0.3">
      <c r="A6">
        <v>5</v>
      </c>
      <c r="B6" t="s">
        <v>20</v>
      </c>
      <c r="C6" t="s">
        <v>24</v>
      </c>
    </row>
    <row r="7" spans="1:3" x14ac:dyDescent="0.3">
      <c r="A7">
        <v>6</v>
      </c>
      <c r="B7" t="s">
        <v>16</v>
      </c>
      <c r="C7" t="s">
        <v>23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Fatture</vt:lpstr>
      <vt:lpstr>Data Analysis</vt:lpstr>
      <vt:lpstr>Let_Stack_vert</vt:lpstr>
      <vt:lpstr>Tabella</vt:lpstr>
      <vt:lpstr>Python</vt:lpstr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2015-06-05T18:19:34Z</dcterms:created>
  <dcterms:modified xsi:type="dcterms:W3CDTF">2026-04-06T09:48:23Z</dcterms:modified>
</cp:coreProperties>
</file>