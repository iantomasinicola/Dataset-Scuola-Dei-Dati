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ianto\Desktop\Power Pivot\"/>
    </mc:Choice>
  </mc:AlternateContent>
  <xr:revisionPtr revIDLastSave="0" documentId="13_ncr:1_{2B2B23A1-B41C-48F3-A8AF-DF25FA6E67A9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ivot 1" sheetId="2" r:id="rId1"/>
    <sheet name="Pivot 2" sheetId="4" r:id="rId2"/>
    <sheet name="Power Pivot 1" sheetId="3" r:id="rId3"/>
    <sheet name="Pivot 3" sheetId="5" r:id="rId4"/>
    <sheet name="Pivot 4 Count" sheetId="7" r:id="rId5"/>
    <sheet name="Power Pivot 2 Count" sheetId="6" r:id="rId6"/>
    <sheet name="Input" sheetId="1" r:id="rId7"/>
  </sheets>
  <definedNames>
    <definedName name="_xlcn.WorksheetConnection_InputA1G181" hidden="1">Input!$A$1:$G$18</definedName>
    <definedName name="_xlcn.WorksheetConnection_InputA1H181" hidden="1">Input!$A$1:$H$18</definedName>
  </definedNames>
  <calcPr calcId="191029"/>
  <pivotCaches>
    <pivotCache cacheId="0" r:id="rId8"/>
    <pivotCache cacheId="36" r:id="rId9"/>
    <pivotCache cacheId="27" r:id="rId10"/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lo" name="Intervallo" connection="WorksheetConnection_Input!$A$1:$G$18"/>
          <x15:modelTable id="Intervallo 1" name="Intervallo 1" connection="WorksheetConnection_Input!$A$1:$H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4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K6" i="2"/>
  <c r="K7" i="2"/>
  <c r="K8" i="2"/>
  <c r="K9" i="2"/>
  <c r="K10" i="2"/>
  <c r="K5" i="2"/>
  <c r="C5" i="2"/>
  <c r="C6" i="2"/>
  <c r="C7" i="2"/>
  <c r="C8" i="2"/>
  <c r="C9" i="2"/>
  <c r="C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20DDD-40F2-4CCF-AC05-F6BE500696E6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4ECC0D-1494-4087-B2CC-57A4167A14C8}" name="WorksheetConnection_Input!$A$1:$G$18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InputA1G181"/>
        </x15:connection>
      </ext>
    </extLst>
  </connection>
  <connection id="3" xr16:uid="{8817B6ED-D008-4051-A930-C92761C71060}" name="WorksheetConnection_Input!$A$1:$H$18" type="102" refreshedVersion="8" minRefreshableVersion="5">
    <extLst>
      <ext xmlns:x15="http://schemas.microsoft.com/office/spreadsheetml/2010/11/main" uri="{DE250136-89BD-433C-8126-D09CA5730AF9}">
        <x15:connection id="Intervallo 1" autoDelete="1">
          <x15:rangePr sourceName="_xlcn.WorksheetConnection_InputA1H18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lo 1].[RegioneResidenza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<sst xmlns="http://schemas.openxmlformats.org/spreadsheetml/2006/main" count="92" uniqueCount="29">
  <si>
    <t>NumeroFattura</t>
  </si>
  <si>
    <t>DataFattura</t>
  </si>
  <si>
    <t>RegioneResidenza</t>
  </si>
  <si>
    <t>SpesaTotale</t>
  </si>
  <si>
    <t>A</t>
  </si>
  <si>
    <t>Lombardia</t>
  </si>
  <si>
    <t>B</t>
  </si>
  <si>
    <t>C</t>
  </si>
  <si>
    <t>Puglia</t>
  </si>
  <si>
    <t>Campania</t>
  </si>
  <si>
    <t>Piemonte</t>
  </si>
  <si>
    <t>Molise</t>
  </si>
  <si>
    <t>CategoriaProdotto</t>
  </si>
  <si>
    <t>AnnoFattura</t>
  </si>
  <si>
    <t>Commissioni</t>
  </si>
  <si>
    <t>Etichette di riga</t>
  </si>
  <si>
    <t>Totale complessivo</t>
  </si>
  <si>
    <t>Somma di SpesaTotale</t>
  </si>
  <si>
    <t>Spesa raddoppiata</t>
  </si>
  <si>
    <t>Somma di Commissioni</t>
  </si>
  <si>
    <t>Spesa*2</t>
  </si>
  <si>
    <t>Somma di Spesa*2</t>
  </si>
  <si>
    <t>Impatto Commissioni</t>
  </si>
  <si>
    <t>Media di SpesaTotale</t>
  </si>
  <si>
    <t>Mediana Spesa Totale</t>
  </si>
  <si>
    <t>Conteggio di RegioneResidenza</t>
  </si>
  <si>
    <t>Distinct Count di RegioneResidenza</t>
  </si>
  <si>
    <t>CountDistinctWithoutBlanks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</si>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</sst>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[04_Dashboard.xlsx]Pivot 2!Tabella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2'!$A$4:$A$9</c:f>
              <c:strCache>
                <c:ptCount val="5"/>
                <c:pt idx="0">
                  <c:v>Campania</c:v>
                </c:pt>
                <c:pt idx="1">
                  <c:v>Lombardia</c:v>
                </c:pt>
                <c:pt idx="2">
                  <c:v>Molise</c:v>
                </c:pt>
                <c:pt idx="3">
                  <c:v>Piemonte</c:v>
                </c:pt>
                <c:pt idx="4">
                  <c:v>Puglia</c:v>
                </c:pt>
              </c:strCache>
            </c:strRef>
          </c:cat>
          <c:val>
            <c:numRef>
              <c:f>'Pivot 2'!$B$4:$B$9</c:f>
              <c:numCache>
                <c:formatCode>General</c:formatCode>
                <c:ptCount val="5"/>
                <c:pt idx="0">
                  <c:v>515.31999999999994</c:v>
                </c:pt>
                <c:pt idx="1">
                  <c:v>490.71999999999997</c:v>
                </c:pt>
                <c:pt idx="2">
                  <c:v>76.28</c:v>
                </c:pt>
                <c:pt idx="3">
                  <c:v>204.88</c:v>
                </c:pt>
                <c:pt idx="4">
                  <c:v>186.56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0-4751-94CD-28DB5435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424320"/>
        <c:axId val="1328421920"/>
      </c:barChart>
      <c:catAx>
        <c:axId val="132842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21920"/>
        <c:crosses val="autoZero"/>
        <c:auto val="1"/>
        <c:lblAlgn val="ctr"/>
        <c:lblOffset val="100"/>
        <c:noMultiLvlLbl val="0"/>
      </c:catAx>
      <c:valAx>
        <c:axId val="13284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2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792480</xdr:colOff>
      <xdr:row>6</xdr:row>
      <xdr:rowOff>45720</xdr:rowOff>
    </xdr:from>
    <xdr:to>
      <xdr:col>9</xdr:col>
      <xdr:colOff>548640</xdr:colOff>
      <xdr:row>21</xdr:row>
      <xdr:rowOff>45720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642798D-B3D0-D214-13EA-3E89028D1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 Iantomasi" refreshedDate="46116.685675231478" createdVersion="8" refreshedVersion="8" minRefreshableVersion="3" recordCount="17" xr:uid="{A52C252D-E537-4173-8708-F5C25F3EE9A6}">
  <cacheSource type="worksheet">
    <worksheetSource ref="A1:G18" sheet="Input"/>
  </cacheSource>
  <cacheFields count="7">
    <cacheField name="NumeroFattura" numFmtId="0">
      <sharedItems containsSemiMixedTypes="0" containsString="0" containsNumber="1" containsInteger="1" minValue="1" maxValue="17"/>
    </cacheField>
    <cacheField name="DataFattura" numFmtId="14">
      <sharedItems containsSemiMixedTypes="0" containsNonDate="0" containsDate="1" containsString="0" minDate="2021-01-08T00:00:00" maxDate="2025-02-04T00:00:00"/>
    </cacheField>
    <cacheField name="AnnoFattura" numFmtId="0">
      <sharedItems containsSemiMixedTypes="0" containsString="0" containsNumber="1" containsInteger="1" minValue="2021" maxValue="2025"/>
    </cacheField>
    <cacheField name="CategoriaProdotto" numFmtId="0">
      <sharedItems/>
    </cacheField>
    <cacheField name="RegioneResidenza" numFmtId="0">
      <sharedItems count="6">
        <s v="Lombardia"/>
        <s v="Campania"/>
        <s v="Puglia"/>
        <s v="Piemonte"/>
        <s v="Molise"/>
        <s v="Trentino" u="1"/>
      </sharedItems>
    </cacheField>
    <cacheField name="SpesaTotale" numFmtId="0">
      <sharedItems containsSemiMixedTypes="0" containsString="0" containsNumber="1" minValue="21.32" maxValue="92.32"/>
    </cacheField>
    <cacheField name="Commissioni" numFmtId="0">
      <sharedItems containsSemiMixedTypes="0" containsString="0" containsNumber="1" minValue="2.99" maxValue="10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 Iantomasi" refreshedDate="46116.689381828706" createdVersion="8" refreshedVersion="8" minRefreshableVersion="3" recordCount="17" xr:uid="{764153E2-F0FE-414C-ADE7-EFA1622ED921}">
  <cacheSource type="worksheet">
    <worksheetSource ref="A1:H18" sheet="Input"/>
  </cacheSource>
  <cacheFields count="8">
    <cacheField name="NumeroFattura" numFmtId="0">
      <sharedItems containsSemiMixedTypes="0" containsString="0" containsNumber="1" containsInteger="1" minValue="1" maxValue="17"/>
    </cacheField>
    <cacheField name="DataFattura" numFmtId="14">
      <sharedItems containsSemiMixedTypes="0" containsNonDate="0" containsDate="1" containsString="0" minDate="2021-01-08T00:00:00" maxDate="2025-02-04T00:00:00"/>
    </cacheField>
    <cacheField name="AnnoFattura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CategoriaProdotto" numFmtId="0">
      <sharedItems count="3">
        <s v="A"/>
        <s v="B"/>
        <s v="C"/>
      </sharedItems>
    </cacheField>
    <cacheField name="RegioneResidenza" numFmtId="0">
      <sharedItems count="5">
        <s v="Lombardia"/>
        <s v="Campania"/>
        <s v="Puglia"/>
        <s v="Piemonte"/>
        <s v="Molise"/>
      </sharedItems>
    </cacheField>
    <cacheField name="SpesaTotale" numFmtId="0">
      <sharedItems containsSemiMixedTypes="0" containsString="0" containsNumber="1" minValue="21.32" maxValue="92.32"/>
    </cacheField>
    <cacheField name="Commissioni" numFmtId="0">
      <sharedItems containsSemiMixedTypes="0" containsString="0" containsNumber="1" minValue="2.99" maxValue="10.63"/>
    </cacheField>
    <cacheField name="Spesa*2" numFmtId="0">
      <sharedItems containsSemiMixedTypes="0" containsString="0" containsNumber="1" minValue="42.64" maxValue="18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a Iantomasi" refreshedDate="46116.707707638889" backgroundQuery="1" createdVersion="8" refreshedVersion="8" minRefreshableVersion="3" recordCount="0" supportSubquery="1" supportAdvancedDrill="1" xr:uid="{CDF2B69A-E10D-48AA-BAF4-E71EBD6AC66B}">
  <cacheSource type="external" connectionId="1"/>
  <cacheFields count="4">
    <cacheField name="[Measures].[Impatto Commissioni]" caption="Impatto Commissioni" numFmtId="0" hierarchy="20" level="32767"/>
    <cacheField name="[Measures].[Media di SpesaTotale]" caption="Media di SpesaTotale" numFmtId="0" hierarchy="17" level="32767"/>
    <cacheField name="[Measures].[Mediana Spesa Totale]" caption="Mediana Spesa Totale" numFmtId="0" hierarchy="21" level="32767"/>
    <cacheField name="[Intervallo].[AnnoFattura].[AnnoFattura]" caption="AnnoFattura" numFmtId="0" hierarchy="2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tervallo].[AnnoFattura].&amp;[2021]"/>
            <x15:cachedUniqueName index="1" name="[Intervallo].[AnnoFattura].&amp;[2022]"/>
            <x15:cachedUniqueName index="2" name="[Intervallo].[AnnoFattura].&amp;[2023]"/>
            <x15:cachedUniqueName index="3" name="[Intervallo].[AnnoFattura].&amp;[2024]"/>
            <x15:cachedUniqueName index="4" name="[Intervallo].[AnnoFattura].&amp;[2025]"/>
          </x15:cachedUniqueNames>
        </ext>
      </extLst>
    </cacheField>
  </cacheFields>
  <cacheHierarchies count="26">
    <cacheHierarchy uniqueName="[Intervallo].[NumeroFattura]" caption="NumeroFattura" attribute="1" defaultMemberUniqueName="[Intervallo].[NumeroFattura].[All]" allUniqueName="[Intervallo].[NumeroFattura].[All]" dimensionUniqueName="[Intervallo]" displayFolder="" count="0" memberValueDatatype="20" unbalanced="0"/>
    <cacheHierarchy uniqueName="[Intervallo].[DataFattura]" caption="DataFattura" attribute="1" time="1" defaultMemberUniqueName="[Intervallo].[DataFattura].[All]" allUniqueName="[Intervallo].[DataFattura].[All]" dimensionUniqueName="[Intervallo]" displayFolder="" count="0" memberValueDatatype="7" unbalanced="0"/>
    <cacheHierarchy uniqueName="[Intervallo].[AnnoFattura]" caption="AnnoFattura" attribute="1" defaultMemberUniqueName="[Intervallo].[AnnoFattura].[All]" allUniqueName="[Intervallo].[AnnoFattura].[All]" dimensionUniqueName="[Intervallo]" displayFolder="" count="2" memberValueDatatype="20" unbalanced="0">
      <fieldsUsage count="2">
        <fieldUsage x="-1"/>
        <fieldUsage x="3"/>
      </fieldsUsage>
    </cacheHierarchy>
    <cacheHierarchy uniqueName="[Intervallo].[CategoriaProdotto]" caption="CategoriaProdotto" attribute="1" defaultMemberUniqueName="[Intervallo].[CategoriaProdotto].[All]" allUniqueName="[Intervallo].[CategoriaProdotto].[All]" dimensionUniqueName="[Intervallo]" displayFolder="" count="0" memberValueDatatype="130" unbalanced="0"/>
    <cacheHierarchy uniqueName="[Intervallo].[RegioneResidenza]" caption="RegioneResidenza" attribute="1" defaultMemberUniqueName="[Intervallo].[RegioneResidenza].[All]" allUniqueName="[Intervallo].[RegioneResidenza].[All]" dimensionUniqueName="[Intervallo]" displayFolder="" count="0" memberValueDatatype="130" unbalanced="0"/>
    <cacheHierarchy uniqueName="[Intervallo].[SpesaTotale]" caption="SpesaTotale" attribute="1" defaultMemberUniqueName="[Intervallo].[SpesaTotale].[All]" allUniqueName="[Intervallo].[SpesaTotale].[All]" dimensionUniqueName="[Intervallo]" displayFolder="" count="0" memberValueDatatype="5" unbalanced="0"/>
    <cacheHierarchy uniqueName="[Intervallo].[Commissioni]" caption="Commissioni" attribute="1" defaultMemberUniqueName="[Intervallo].[Commissioni].[All]" allUniqueName="[Intervallo].[Commissioni].[All]" dimensionUniqueName="[Intervallo]" displayFolder="" count="0" memberValueDatatype="5" unbalanced="0"/>
    <cacheHierarchy uniqueName="[Intervallo 1].[NumeroFattura]" caption="NumeroFattura" attribute="1" defaultMemberUniqueName="[Intervallo 1].[NumeroFattura].[All]" allUniqueName="[Intervallo 1].[NumeroFattura].[All]" dimensionUniqueName="[Intervallo 1]" displayFolder="" count="0" memberValueDatatype="20" unbalanced="0"/>
    <cacheHierarchy uniqueName="[Intervallo 1].[DataFattura]" caption="DataFattura" attribute="1" time="1" defaultMemberUniqueName="[Intervallo 1].[DataFattura].[All]" allUniqueName="[Intervallo 1].[DataFattura].[All]" dimensionUniqueName="[Intervallo 1]" displayFolder="" count="0" memberValueDatatype="7" unbalanced="0"/>
    <cacheHierarchy uniqueName="[Intervallo 1].[AnnoFattura]" caption="AnnoFattura" attribute="1" defaultMemberUniqueName="[Intervallo 1].[AnnoFattura].[All]" allUniqueName="[Intervallo 1].[AnnoFattura].[All]" dimensionUniqueName="[Intervallo 1]" displayFolder="" count="0" memberValueDatatype="20" unbalanced="0"/>
    <cacheHierarchy uniqueName="[Intervallo 1].[CategoriaProdotto]" caption="CategoriaProdotto" attribute="1" defaultMemberUniqueName="[Intervallo 1].[CategoriaProdotto].[All]" allUniqueName="[Intervallo 1].[CategoriaProdotto].[All]" dimensionUniqueName="[Intervallo 1]" displayFolder="" count="0" memberValueDatatype="130" unbalanced="0"/>
    <cacheHierarchy uniqueName="[Intervallo 1].[RegioneResidenza]" caption="RegioneResidenza" attribute="1" defaultMemberUniqueName="[Intervallo 1].[RegioneResidenza].[All]" allUniqueName="[Intervallo 1].[RegioneResidenza].[All]" dimensionUniqueName="[Intervallo 1]" displayFolder="" count="0" memberValueDatatype="130" unbalanced="0"/>
    <cacheHierarchy uniqueName="[Intervallo 1].[SpesaTotale]" caption="SpesaTotale" attribute="1" defaultMemberUniqueName="[Intervallo 1].[SpesaTotale].[All]" allUniqueName="[Intervallo 1].[SpesaTotale].[All]" dimensionUniqueName="[Intervallo 1]" displayFolder="" count="0" memberValueDatatype="5" unbalanced="0"/>
    <cacheHierarchy uniqueName="[Intervallo 1].[Commissioni]" caption="Commissioni" attribute="1" defaultMemberUniqueName="[Intervallo 1].[Commissioni].[All]" allUniqueName="[Intervallo 1].[Commissioni].[All]" dimensionUniqueName="[Intervallo 1]" displayFolder="" count="0" memberValueDatatype="5" unbalanced="0"/>
    <cacheHierarchy uniqueName="[Intervallo 1].[Spesa*2]" caption="Spesa*2" attribute="1" defaultMemberUniqueName="[Intervallo 1].[Spesa*2].[All]" allUniqueName="[Intervallo 1].[Spesa*2].[All]" dimensionUniqueName="[Intervallo 1]" displayFolder="" count="0" memberValueDatatype="5" unbalanced="0"/>
    <cacheHierarchy uniqueName="[Measures].[Somma di SpesaTotale]" caption="Somma di SpesaTotale" measure="1" displayFolder="" measureGroup="Intervall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mmissioni]" caption="Somma di Commissioni" measure="1" displayFolder="" measureGroup="Intervall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SpesaTotale]" caption="Media di SpesaTotale" measure="1" displayFolder="" measureGroup="Intervall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eggio di RegioneResidenza]" caption="Conteggio di RegioneResidenza" measure="1" displayFolder="" measureGroup="Intervallo 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di RegioneResidenza]" caption="Distinct Count di RegioneResidenza" measure="1" displayFolder="" measureGroup="Intervallo 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Impatto Commissioni]" caption="Impatto Commissioni" measure="1" displayFolder="" measureGroup="Intervallo" count="0" oneField="1">
      <fieldsUsage count="1">
        <fieldUsage x="0"/>
      </fieldsUsage>
    </cacheHierarchy>
    <cacheHierarchy uniqueName="[Measures].[Mediana Spesa Totale]" caption="Mediana Spesa Totale" measure="1" displayFolder="" measureGroup="Intervallo" count="0" oneField="1">
      <fieldsUsage count="1">
        <fieldUsage x="2"/>
      </fieldsUsage>
    </cacheHierarchy>
    <cacheHierarchy uniqueName="[Measures].[CountDistinctWithoutBlanks]" caption="CountDistinctWithoutBlanks" measure="1" displayFolder="" measureGroup="Intervallo 1" count="0"/>
    <cacheHierarchy uniqueName="[Measures].[__XL_Count Intervallo]" caption="__XL_Count Intervallo" measure="1" displayFolder="" measureGroup="Intervallo" count="0" hidden="1"/>
    <cacheHierarchy uniqueName="[Measures].[__XL_Count Intervallo 1]" caption="__XL_Count Intervallo 1" measure="1" displayFolder="" measureGroup="Intervallo 1" count="0" hidden="1"/>
    <cacheHierarchy uniqueName="[Measures].[__No measures defined]" caption="__No measures defined" measure="1" displayFolder="" count="0" hidden="1"/>
  </cacheHierarchies>
  <kpis count="0"/>
  <dimensions count="3">
    <dimension name="Intervallo" uniqueName="[Intervallo]" caption="Intervallo"/>
    <dimension name="Intervallo 1" uniqueName="[Intervallo 1]" caption="Intervallo 1"/>
    <dimension measure="1" name="Measures" uniqueName="[Measures]" caption="Measures"/>
  </dimensions>
  <measureGroups count="2">
    <measureGroup name="Intervallo" caption="Intervallo"/>
    <measureGroup name="Intervallo 1" caption="Intervallo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a Iantomasi" refreshedDate="46118.487520023147" backgroundQuery="1" createdVersion="8" refreshedVersion="8" minRefreshableVersion="3" recordCount="0" supportSubquery="1" supportAdvancedDrill="1" xr:uid="{179FD950-F813-424A-8F15-003BD1194FE8}">
  <cacheSource type="external" connectionId="1"/>
  <cacheFields count="5">
    <cacheField name="[Intervallo 1].[AnnoFattura].[AnnoFattura]" caption="AnnoFattura" numFmtId="0" hierarchy="9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Intervallo 1].[AnnoFattura].&amp;[2021]"/>
            <x15:cachedUniqueName index="1" name="[Intervallo 1].[AnnoFattura].&amp;[2022]"/>
            <x15:cachedUniqueName index="2" name="[Intervallo 1].[AnnoFattura].&amp;[2023]"/>
            <x15:cachedUniqueName index="3" name="[Intervallo 1].[AnnoFattura].&amp;[2024]"/>
            <x15:cachedUniqueName index="4" name="[Intervallo 1].[AnnoFattura].&amp;[2025]"/>
          </x15:cachedUniqueNames>
        </ext>
      </extLst>
    </cacheField>
    <cacheField name="[Measures].[Conteggio di RegioneResidenza]" caption="Conteggio di RegioneResidenza" numFmtId="0" hierarchy="18" level="32767"/>
    <cacheField name="[Measures].[Distinct Count di RegioneResidenza]" caption="Distinct Count di RegioneResidenza" numFmtId="0" hierarchy="19" level="32767"/>
    <cacheField name="[Measures].[CountDistinctWithoutBlanks]" caption="CountDistinctWithoutBlanks" numFmtId="0" hierarchy="22" level="32767"/>
    <cacheField name="[Intervallo 1].[RegioneResidenza].[RegioneResidenza]" caption="RegioneResidenza" numFmtId="0" hierarchy="11" level="1">
      <sharedItems containsSemiMixedTypes="0" containsNonDate="0" containsString="0"/>
    </cacheField>
  </cacheFields>
  <cacheHierarchies count="26">
    <cacheHierarchy uniqueName="[Intervallo].[NumeroFattura]" caption="NumeroFattura" attribute="1" defaultMemberUniqueName="[Intervallo].[NumeroFattura].[All]" allUniqueName="[Intervallo].[NumeroFattura].[All]" dimensionUniqueName="[Intervallo]" displayFolder="" count="0" memberValueDatatype="20" unbalanced="0"/>
    <cacheHierarchy uniqueName="[Intervallo].[DataFattura]" caption="DataFattura" attribute="1" time="1" defaultMemberUniqueName="[Intervallo].[DataFattura].[All]" allUniqueName="[Intervallo].[DataFattura].[All]" dimensionUniqueName="[Intervallo]" displayFolder="" count="0" memberValueDatatype="7" unbalanced="0"/>
    <cacheHierarchy uniqueName="[Intervallo].[AnnoFattura]" caption="AnnoFattura" attribute="1" defaultMemberUniqueName="[Intervallo].[AnnoFattura].[All]" allUniqueName="[Intervallo].[AnnoFattura].[All]" dimensionUniqueName="[Intervallo]" displayFolder="" count="0" memberValueDatatype="20" unbalanced="0"/>
    <cacheHierarchy uniqueName="[Intervallo].[CategoriaProdotto]" caption="CategoriaProdotto" attribute="1" defaultMemberUniqueName="[Intervallo].[CategoriaProdotto].[All]" allUniqueName="[Intervallo].[CategoriaProdotto].[All]" dimensionUniqueName="[Intervallo]" displayFolder="" count="0" memberValueDatatype="130" unbalanced="0"/>
    <cacheHierarchy uniqueName="[Intervallo].[RegioneResidenza]" caption="RegioneResidenza" attribute="1" defaultMemberUniqueName="[Intervallo].[RegioneResidenza].[All]" allUniqueName="[Intervallo].[RegioneResidenza].[All]" dimensionUniqueName="[Intervallo]" displayFolder="" count="0" memberValueDatatype="130" unbalanced="0"/>
    <cacheHierarchy uniqueName="[Intervallo].[SpesaTotale]" caption="SpesaTotale" attribute="1" defaultMemberUniqueName="[Intervallo].[SpesaTotale].[All]" allUniqueName="[Intervallo].[SpesaTotale].[All]" dimensionUniqueName="[Intervallo]" displayFolder="" count="0" memberValueDatatype="5" unbalanced="0"/>
    <cacheHierarchy uniqueName="[Intervallo].[Commissioni]" caption="Commissioni" attribute="1" defaultMemberUniqueName="[Intervallo].[Commissioni].[All]" allUniqueName="[Intervallo].[Commissioni].[All]" dimensionUniqueName="[Intervallo]" displayFolder="" count="0" memberValueDatatype="5" unbalanced="0"/>
    <cacheHierarchy uniqueName="[Intervallo 1].[NumeroFattura]" caption="NumeroFattura" attribute="1" defaultMemberUniqueName="[Intervallo 1].[NumeroFattura].[All]" allUniqueName="[Intervallo 1].[NumeroFattura].[All]" dimensionUniqueName="[Intervallo 1]" displayFolder="" count="0" memberValueDatatype="20" unbalanced="0"/>
    <cacheHierarchy uniqueName="[Intervallo 1].[DataFattura]" caption="DataFattura" attribute="1" time="1" defaultMemberUniqueName="[Intervallo 1].[DataFattura].[All]" allUniqueName="[Intervallo 1].[DataFattura].[All]" dimensionUniqueName="[Intervallo 1]" displayFolder="" count="0" memberValueDatatype="7" unbalanced="0"/>
    <cacheHierarchy uniqueName="[Intervallo 1].[AnnoFattura]" caption="AnnoFattura" attribute="1" defaultMemberUniqueName="[Intervallo 1].[AnnoFattura].[All]" allUniqueName="[Intervallo 1].[AnnoFattura].[All]" dimensionUniqueName="[Intervallo 1]" displayFolder="" count="2" memberValueDatatype="20" unbalanced="0">
      <fieldsUsage count="2">
        <fieldUsage x="-1"/>
        <fieldUsage x="0"/>
      </fieldsUsage>
    </cacheHierarchy>
    <cacheHierarchy uniqueName="[Intervallo 1].[CategoriaProdotto]" caption="CategoriaProdotto" attribute="1" defaultMemberUniqueName="[Intervallo 1].[CategoriaProdotto].[All]" allUniqueName="[Intervallo 1].[CategoriaProdotto].[All]" dimensionUniqueName="[Intervallo 1]" displayFolder="" count="0" memberValueDatatype="130" unbalanced="0"/>
    <cacheHierarchy uniqueName="[Intervallo 1].[RegioneResidenza]" caption="RegioneResidenza" attribute="1" defaultMemberUniqueName="[Intervallo 1].[RegioneResidenza].[All]" allUniqueName="[Intervallo 1].[RegioneResidenza].[All]" dimensionUniqueName="[Intervallo 1]" displayFolder="" count="2" memberValueDatatype="130" unbalanced="0">
      <fieldsUsage count="2">
        <fieldUsage x="-1"/>
        <fieldUsage x="4"/>
      </fieldsUsage>
    </cacheHierarchy>
    <cacheHierarchy uniqueName="[Intervallo 1].[SpesaTotale]" caption="SpesaTotale" attribute="1" defaultMemberUniqueName="[Intervallo 1].[SpesaTotale].[All]" allUniqueName="[Intervallo 1].[SpesaTotale].[All]" dimensionUniqueName="[Intervallo 1]" displayFolder="" count="0" memberValueDatatype="5" unbalanced="0"/>
    <cacheHierarchy uniqueName="[Intervallo 1].[Commissioni]" caption="Commissioni" attribute="1" defaultMemberUniqueName="[Intervallo 1].[Commissioni].[All]" allUniqueName="[Intervallo 1].[Commissioni].[All]" dimensionUniqueName="[Intervallo 1]" displayFolder="" count="0" memberValueDatatype="5" unbalanced="0"/>
    <cacheHierarchy uniqueName="[Intervallo 1].[Spesa*2]" caption="Spesa*2" attribute="1" defaultMemberUniqueName="[Intervallo 1].[Spesa*2].[All]" allUniqueName="[Intervallo 1].[Spesa*2].[All]" dimensionUniqueName="[Intervallo 1]" displayFolder="" count="0" memberValueDatatype="5" unbalanced="0"/>
    <cacheHierarchy uniqueName="[Measures].[Somma di SpesaTotale]" caption="Somma di SpesaTotale" measure="1" displayFolder="" measureGroup="Intervall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mmissioni]" caption="Somma di Commissioni" measure="1" displayFolder="" measureGroup="Intervall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SpesaTotale]" caption="Media di SpesaTotale" measure="1" displayFolder="" measureGroup="Intervallo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eggio di RegioneResidenza]" caption="Conteggio di RegioneResidenza" measure="1" displayFolder="" measureGroup="Intervallo 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di RegioneResidenza]" caption="Distinct Count di RegioneResidenza" measure="1" displayFolder="" measureGroup="Intervallo 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Impatto Commissioni]" caption="Impatto Commissioni" measure="1" displayFolder="" measureGroup="Intervallo" count="0"/>
    <cacheHierarchy uniqueName="[Measures].[Mediana Spesa Totale]" caption="Mediana Spesa Totale" measure="1" displayFolder="" measureGroup="Intervallo" count="0"/>
    <cacheHierarchy uniqueName="[Measures].[CountDistinctWithoutBlanks]" caption="CountDistinctWithoutBlanks" measure="1" displayFolder="" measureGroup="Intervallo 1" count="0" oneField="1">
      <fieldsUsage count="1">
        <fieldUsage x="3"/>
      </fieldsUsage>
    </cacheHierarchy>
    <cacheHierarchy uniqueName="[Measures].[__XL_Count Intervallo]" caption="__XL_Count Intervallo" measure="1" displayFolder="" measureGroup="Intervallo" count="0" hidden="1"/>
    <cacheHierarchy uniqueName="[Measures].[__XL_Count Intervallo 1]" caption="__XL_Count Intervallo 1" measure="1" displayFolder="" measureGroup="Intervallo 1" count="0" hidden="1"/>
    <cacheHierarchy uniqueName="[Measures].[__No measures defined]" caption="__No measures defined" measure="1" displayFolder="" count="0" hidden="1"/>
  </cacheHierarchies>
  <kpis count="0"/>
  <dimensions count="3">
    <dimension name="Intervallo" uniqueName="[Intervallo]" caption="Intervallo"/>
    <dimension name="Intervallo 1" uniqueName="[Intervallo 1]" caption="Intervallo 1"/>
    <dimension measure="1" name="Measures" uniqueName="[Measures]" caption="Measures"/>
  </dimensions>
  <measureGroups count="2">
    <measureGroup name="Intervallo" caption="Intervallo"/>
    <measureGroup name="Intervallo 1" caption="Intervallo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d v="2021-01-08T00:00:00"/>
    <n v="2021"/>
    <s v="A"/>
    <x v="0"/>
    <n v="32.119999999999997"/>
    <n v="3.97"/>
  </r>
  <r>
    <n v="2"/>
    <d v="2021-01-08T00:00:00"/>
    <n v="2021"/>
    <s v="A"/>
    <x v="1"/>
    <n v="32.56"/>
    <n v="5.0199999999999996"/>
  </r>
  <r>
    <n v="3"/>
    <d v="2021-02-03T00:00:00"/>
    <n v="2021"/>
    <s v="B"/>
    <x v="0"/>
    <n v="38.14"/>
    <n v="4.04"/>
  </r>
  <r>
    <n v="4"/>
    <d v="2021-02-07T00:00:00"/>
    <n v="2021"/>
    <s v="C"/>
    <x v="0"/>
    <n v="39.14"/>
    <n v="6.2"/>
  </r>
  <r>
    <n v="5"/>
    <d v="2022-04-07T00:00:00"/>
    <n v="2022"/>
    <s v="A"/>
    <x v="2"/>
    <n v="55.14"/>
    <n v="6"/>
  </r>
  <r>
    <n v="6"/>
    <d v="2022-05-01T00:00:00"/>
    <n v="2022"/>
    <s v="A"/>
    <x v="1"/>
    <n v="22.32"/>
    <n v="3.91"/>
  </r>
  <r>
    <n v="7"/>
    <d v="2022-08-01T00:00:00"/>
    <n v="2022"/>
    <s v="A"/>
    <x v="0"/>
    <n v="21.32"/>
    <n v="3.35"/>
  </r>
  <r>
    <n v="8"/>
    <d v="2022-10-11T00:00:00"/>
    <n v="2022"/>
    <s v="B"/>
    <x v="0"/>
    <n v="22.32"/>
    <n v="3.38"/>
  </r>
  <r>
    <n v="9"/>
    <d v="2023-10-11T00:00:00"/>
    <n v="2023"/>
    <s v="C"/>
    <x v="3"/>
    <n v="72.319999999999993"/>
    <n v="8.6300000000000008"/>
  </r>
  <r>
    <n v="10"/>
    <d v="2023-10-17T00:00:00"/>
    <n v="2023"/>
    <s v="A"/>
    <x v="3"/>
    <n v="30.12"/>
    <n v="4.9000000000000004"/>
  </r>
  <r>
    <n v="11"/>
    <d v="2023-10-17T00:00:00"/>
    <n v="2023"/>
    <s v="A"/>
    <x v="1"/>
    <n v="22.32"/>
    <n v="2.99"/>
  </r>
  <r>
    <n v="12"/>
    <d v="2023-12-11T00:00:00"/>
    <n v="2023"/>
    <s v="B"/>
    <x v="1"/>
    <n v="38.14"/>
    <n v="5.43"/>
  </r>
  <r>
    <n v="13"/>
    <d v="2024-12-17T00:00:00"/>
    <n v="2024"/>
    <s v="A"/>
    <x v="4"/>
    <n v="38.14"/>
    <n v="4.07"/>
  </r>
  <r>
    <n v="14"/>
    <d v="2024-12-17T00:00:00"/>
    <n v="2024"/>
    <s v="C"/>
    <x v="2"/>
    <n v="38.14"/>
    <n v="4.4800000000000004"/>
  </r>
  <r>
    <n v="15"/>
    <d v="2025-01-03T00:00:00"/>
    <n v="2025"/>
    <s v="A"/>
    <x v="1"/>
    <n v="92.32"/>
    <n v="10.63"/>
  </r>
  <r>
    <n v="16"/>
    <d v="2025-01-03T00:00:00"/>
    <n v="2025"/>
    <s v="B"/>
    <x v="0"/>
    <n v="92.32"/>
    <n v="9.81"/>
  </r>
  <r>
    <n v="17"/>
    <d v="2025-02-03T00:00:00"/>
    <n v="2025"/>
    <s v="A"/>
    <x v="1"/>
    <n v="50"/>
    <n v="6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d v="2021-01-08T00:00:00"/>
    <x v="0"/>
    <x v="0"/>
    <x v="0"/>
    <n v="32.119999999999997"/>
    <n v="3.97"/>
    <n v="64.239999999999995"/>
  </r>
  <r>
    <n v="2"/>
    <d v="2021-01-08T00:00:00"/>
    <x v="0"/>
    <x v="0"/>
    <x v="1"/>
    <n v="32.56"/>
    <n v="5.0199999999999996"/>
    <n v="65.12"/>
  </r>
  <r>
    <n v="3"/>
    <d v="2021-02-03T00:00:00"/>
    <x v="0"/>
    <x v="1"/>
    <x v="0"/>
    <n v="38.14"/>
    <n v="4.04"/>
    <n v="76.28"/>
  </r>
  <r>
    <n v="4"/>
    <d v="2021-02-07T00:00:00"/>
    <x v="0"/>
    <x v="2"/>
    <x v="0"/>
    <n v="39.14"/>
    <n v="6.2"/>
    <n v="78.28"/>
  </r>
  <r>
    <n v="5"/>
    <d v="2022-04-07T00:00:00"/>
    <x v="1"/>
    <x v="0"/>
    <x v="2"/>
    <n v="55.14"/>
    <n v="6"/>
    <n v="110.28"/>
  </r>
  <r>
    <n v="6"/>
    <d v="2022-05-01T00:00:00"/>
    <x v="1"/>
    <x v="0"/>
    <x v="1"/>
    <n v="22.32"/>
    <n v="3.91"/>
    <n v="44.64"/>
  </r>
  <r>
    <n v="7"/>
    <d v="2022-08-01T00:00:00"/>
    <x v="1"/>
    <x v="0"/>
    <x v="0"/>
    <n v="21.32"/>
    <n v="3.35"/>
    <n v="42.64"/>
  </r>
  <r>
    <n v="8"/>
    <d v="2022-10-11T00:00:00"/>
    <x v="1"/>
    <x v="1"/>
    <x v="0"/>
    <n v="22.32"/>
    <n v="3.38"/>
    <n v="44.64"/>
  </r>
  <r>
    <n v="9"/>
    <d v="2023-10-11T00:00:00"/>
    <x v="2"/>
    <x v="2"/>
    <x v="3"/>
    <n v="72.319999999999993"/>
    <n v="8.6300000000000008"/>
    <n v="144.63999999999999"/>
  </r>
  <r>
    <n v="10"/>
    <d v="2023-10-17T00:00:00"/>
    <x v="2"/>
    <x v="0"/>
    <x v="3"/>
    <n v="30.12"/>
    <n v="4.9000000000000004"/>
    <n v="60.24"/>
  </r>
  <r>
    <n v="11"/>
    <d v="2023-10-17T00:00:00"/>
    <x v="2"/>
    <x v="0"/>
    <x v="1"/>
    <n v="22.32"/>
    <n v="2.99"/>
    <n v="44.64"/>
  </r>
  <r>
    <n v="12"/>
    <d v="2023-12-11T00:00:00"/>
    <x v="2"/>
    <x v="1"/>
    <x v="1"/>
    <n v="38.14"/>
    <n v="5.43"/>
    <n v="76.28"/>
  </r>
  <r>
    <n v="13"/>
    <d v="2024-12-17T00:00:00"/>
    <x v="3"/>
    <x v="0"/>
    <x v="4"/>
    <n v="38.14"/>
    <n v="4.07"/>
    <n v="76.28"/>
  </r>
  <r>
    <n v="14"/>
    <d v="2024-12-17T00:00:00"/>
    <x v="3"/>
    <x v="2"/>
    <x v="2"/>
    <n v="38.14"/>
    <n v="4.4800000000000004"/>
    <n v="76.28"/>
  </r>
  <r>
    <n v="15"/>
    <d v="2025-01-03T00:00:00"/>
    <x v="4"/>
    <x v="0"/>
    <x v="1"/>
    <n v="92.32"/>
    <n v="10.63"/>
    <n v="184.64"/>
  </r>
  <r>
    <n v="16"/>
    <d v="2025-01-03T00:00:00"/>
    <x v="4"/>
    <x v="1"/>
    <x v="0"/>
    <n v="92.32"/>
    <n v="9.81"/>
    <n v="184.64"/>
  </r>
  <r>
    <n v="17"/>
    <d v="2025-02-03T00:00:00"/>
    <x v="4"/>
    <x v="0"/>
    <x v="1"/>
    <n v="50"/>
    <n v="6.94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887DF-1B34-45D8-BC49-151308FC36B2}" name="Tabella pivot1" cacheId="0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>
  <location ref="A3:B9" firstHeaderRow="1" firstDataRow="1" firstDataCol="1"/>
  <pivotFields count="7">
    <pivotField showAll="0"/>
    <pivotField numFmtId="14" showAll="0"/>
    <pivotField showAll="0"/>
    <pivotField showAll="0"/>
    <pivotField axis="axisRow" showAll="0">
      <items count="7">
        <item x="1"/>
        <item x="0"/>
        <item x="4"/>
        <item x="3"/>
        <item x="2"/>
        <item m="1" x="5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SpesaTotal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3571D-2A61-4054-ADA2-C58D01860ABD}" name="Tabella pivot3" cacheId="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8">
    <pivotField showAll="0"/>
    <pivotField numFmtId="14"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Spesa*2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BD9C0-BD73-4634-874B-4A4845D95745}" name="Tabella pivot2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9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0"/>
    <dataField name="Media di SpesaTotale" fld="1" subtotal="average" baseField="0" baseItem="0"/>
    <dataField fld="2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put!$A$1:$G$18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0D3A1-5CA8-4121-9BE6-83BC0409AD33}" name="Tabella pivot4" cacheId="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9" firstHeaderRow="0" firstDataRow="1" firstDataCol="1"/>
  <pivotFields count="8">
    <pivotField showAll="0"/>
    <pivotField numFmtId="14"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1"/>
        <item x="0"/>
        <item x="4"/>
        <item x="3"/>
        <item x="2"/>
        <item t="default"/>
      </items>
    </pivotField>
    <pivotField dataField="1"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Commissioni" fld="6" baseField="0" baseItem="0"/>
    <dataField name="Somma di SpesaTotal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71A57-BDD0-4ED6-B9D0-5C0CCCCA717B}" name="Tabella pivot2" cacheId="3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eggio di RegioneResidenz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BA76E-FE63-422A-9A31-45851C8F396D}" name="Tabella pivot1" cacheId="3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9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11" name="[Intervallo 1].[RegioneResidenza].[All]" cap="All"/>
  </pageFields>
  <dataFields count="3">
    <dataField name="Conteggio di RegioneResidenza" fld="1" subtotal="count" baseField="0" baseItem="0"/>
    <dataField name="Distinct Count di RegioneResidenza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put!$A$1:$H$18">
        <x15:activeTabTopLevelEntity name="[Intervall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626D-6C42-4C2E-BB6A-AB866BE98636}">
  <dimension ref="A3:K10"/>
  <sheetViews>
    <sheetView workbookViewId="0">
      <selection activeCell="B28" sqref="B28"/>
    </sheetView>
  </sheetViews>
  <sheetFormatPr defaultRowHeight="14.4" x14ac:dyDescent="0.3"/>
  <cols>
    <col min="1" max="1" width="17.21875" bestFit="1" customWidth="1"/>
    <col min="2" max="2" width="20.21875" bestFit="1" customWidth="1"/>
    <col min="3" max="3" width="16.109375" bestFit="1" customWidth="1"/>
    <col min="10" max="10" width="19.5546875" bestFit="1" customWidth="1"/>
    <col min="11" max="11" width="16.109375" bestFit="1" customWidth="1"/>
  </cols>
  <sheetData>
    <row r="3" spans="1:11" x14ac:dyDescent="0.3">
      <c r="A3" s="4" t="s">
        <v>15</v>
      </c>
      <c r="B3" t="s">
        <v>17</v>
      </c>
      <c r="C3" t="s">
        <v>18</v>
      </c>
    </row>
    <row r="4" spans="1:11" x14ac:dyDescent="0.3">
      <c r="A4" s="5" t="s">
        <v>9</v>
      </c>
      <c r="B4">
        <v>257.65999999999997</v>
      </c>
      <c r="C4">
        <f>B4*2</f>
        <v>515.31999999999994</v>
      </c>
      <c r="I4" t="s">
        <v>15</v>
      </c>
      <c r="J4" t="s">
        <v>17</v>
      </c>
      <c r="K4" t="s">
        <v>18</v>
      </c>
    </row>
    <row r="5" spans="1:11" x14ac:dyDescent="0.3">
      <c r="A5" s="5" t="s">
        <v>5</v>
      </c>
      <c r="B5">
        <v>245.35999999999999</v>
      </c>
      <c r="C5">
        <f t="shared" ref="C5:C9" si="0">B5*2</f>
        <v>490.71999999999997</v>
      </c>
      <c r="I5" t="s">
        <v>9</v>
      </c>
      <c r="J5">
        <v>257.65999999999997</v>
      </c>
      <c r="K5">
        <f>J5*2</f>
        <v>515.31999999999994</v>
      </c>
    </row>
    <row r="6" spans="1:11" x14ac:dyDescent="0.3">
      <c r="A6" s="5" t="s">
        <v>11</v>
      </c>
      <c r="B6">
        <v>38.14</v>
      </c>
      <c r="C6">
        <f t="shared" si="0"/>
        <v>76.28</v>
      </c>
      <c r="I6" t="s">
        <v>5</v>
      </c>
      <c r="J6">
        <v>245.35999999999999</v>
      </c>
      <c r="K6">
        <f t="shared" ref="K6:K10" si="1">J6*2</f>
        <v>490.71999999999997</v>
      </c>
    </row>
    <row r="7" spans="1:11" x14ac:dyDescent="0.3">
      <c r="A7" s="5" t="s">
        <v>10</v>
      </c>
      <c r="B7">
        <v>102.44</v>
      </c>
      <c r="C7">
        <f t="shared" si="0"/>
        <v>204.88</v>
      </c>
      <c r="I7" t="s">
        <v>11</v>
      </c>
      <c r="J7">
        <v>38.14</v>
      </c>
      <c r="K7">
        <f t="shared" si="1"/>
        <v>76.28</v>
      </c>
    </row>
    <row r="8" spans="1:11" x14ac:dyDescent="0.3">
      <c r="A8" s="5" t="s">
        <v>8</v>
      </c>
      <c r="B8">
        <v>93.28</v>
      </c>
      <c r="C8">
        <f t="shared" si="0"/>
        <v>186.56</v>
      </c>
      <c r="I8" t="s">
        <v>10</v>
      </c>
      <c r="J8">
        <v>102.44</v>
      </c>
      <c r="K8">
        <f t="shared" si="1"/>
        <v>204.88</v>
      </c>
    </row>
    <row r="9" spans="1:11" x14ac:dyDescent="0.3">
      <c r="A9" s="5" t="s">
        <v>16</v>
      </c>
      <c r="B9">
        <v>736.87999999999988</v>
      </c>
      <c r="C9">
        <f t="shared" si="0"/>
        <v>1473.7599999999998</v>
      </c>
      <c r="I9" t="s">
        <v>8</v>
      </c>
      <c r="J9">
        <v>93.28</v>
      </c>
      <c r="K9">
        <f t="shared" si="1"/>
        <v>186.56</v>
      </c>
    </row>
    <row r="10" spans="1:11" x14ac:dyDescent="0.3">
      <c r="I10" t="s">
        <v>16</v>
      </c>
      <c r="J10">
        <v>736.87999999999988</v>
      </c>
      <c r="K10">
        <f t="shared" si="1"/>
        <v>1473.7599999999998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29BC-92E7-4749-8C14-D2BC8D32B4C7}">
  <dimension ref="A3:B9"/>
  <sheetViews>
    <sheetView showGridLines="0" workbookViewId="0">
      <selection activeCell="B5" sqref="B5"/>
    </sheetView>
  </sheetViews>
  <sheetFormatPr defaultRowHeight="14.4" x14ac:dyDescent="0.3"/>
  <cols>
    <col min="1" max="1" width="17.21875" bestFit="1" customWidth="1"/>
    <col min="2" max="3" width="16.88671875" bestFit="1" customWidth="1"/>
  </cols>
  <sheetData>
    <row r="3" spans="1:2" x14ac:dyDescent="0.3">
      <c r="A3" s="4" t="s">
        <v>15</v>
      </c>
      <c r="B3" t="s">
        <v>21</v>
      </c>
    </row>
    <row r="4" spans="1:2" x14ac:dyDescent="0.3">
      <c r="A4" s="5" t="s">
        <v>9</v>
      </c>
      <c r="B4">
        <v>515.31999999999994</v>
      </c>
    </row>
    <row r="5" spans="1:2" x14ac:dyDescent="0.3">
      <c r="A5" s="5" t="s">
        <v>5</v>
      </c>
      <c r="B5">
        <v>490.71999999999997</v>
      </c>
    </row>
    <row r="6" spans="1:2" x14ac:dyDescent="0.3">
      <c r="A6" s="5" t="s">
        <v>11</v>
      </c>
      <c r="B6">
        <v>76.28</v>
      </c>
    </row>
    <row r="7" spans="1:2" x14ac:dyDescent="0.3">
      <c r="A7" s="5" t="s">
        <v>10</v>
      </c>
      <c r="B7">
        <v>204.88</v>
      </c>
    </row>
    <row r="8" spans="1:2" x14ac:dyDescent="0.3">
      <c r="A8" s="5" t="s">
        <v>8</v>
      </c>
      <c r="B8">
        <v>186.56</v>
      </c>
    </row>
    <row r="9" spans="1:2" x14ac:dyDescent="0.3">
      <c r="A9" s="5" t="s">
        <v>16</v>
      </c>
      <c r="B9">
        <v>1473.7599999999998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2EA0-6C34-41FF-805E-1D6B882F3453}">
  <dimension ref="A3:D9"/>
  <sheetViews>
    <sheetView workbookViewId="0">
      <selection activeCell="B4" sqref="B4"/>
    </sheetView>
  </sheetViews>
  <sheetFormatPr defaultRowHeight="14.4" x14ac:dyDescent="0.3"/>
  <cols>
    <col min="1" max="1" width="17.21875" bestFit="1" customWidth="1"/>
    <col min="2" max="3" width="19.109375" bestFit="1" customWidth="1"/>
    <col min="4" max="4" width="19.6640625" bestFit="1" customWidth="1"/>
  </cols>
  <sheetData>
    <row r="3" spans="1:4" x14ac:dyDescent="0.3">
      <c r="A3" s="4" t="s">
        <v>15</v>
      </c>
      <c r="B3" t="s">
        <v>22</v>
      </c>
      <c r="C3" t="s">
        <v>23</v>
      </c>
      <c r="D3" t="s">
        <v>24</v>
      </c>
    </row>
    <row r="4" spans="1:4" x14ac:dyDescent="0.3">
      <c r="A4" s="5">
        <v>2021</v>
      </c>
      <c r="B4" s="7">
        <v>0.13546069315300083</v>
      </c>
      <c r="C4">
        <v>35.49</v>
      </c>
      <c r="D4">
        <v>35.35</v>
      </c>
    </row>
    <row r="5" spans="1:4" x14ac:dyDescent="0.3">
      <c r="A5" s="5">
        <v>2022</v>
      </c>
      <c r="B5" s="7">
        <v>0.13740710156895128</v>
      </c>
      <c r="C5">
        <v>30.274999999999999</v>
      </c>
      <c r="D5">
        <v>22.32</v>
      </c>
    </row>
    <row r="6" spans="1:4" x14ac:dyDescent="0.3">
      <c r="A6" s="5">
        <v>2023</v>
      </c>
      <c r="B6" s="7">
        <v>0.1347452424800491</v>
      </c>
      <c r="C6">
        <v>40.725000000000001</v>
      </c>
      <c r="D6">
        <v>34.130000000000003</v>
      </c>
    </row>
    <row r="7" spans="1:4" x14ac:dyDescent="0.3">
      <c r="A7" s="5">
        <v>2024</v>
      </c>
      <c r="B7" s="7">
        <v>0.11208704771893026</v>
      </c>
      <c r="C7">
        <v>38.14</v>
      </c>
      <c r="D7">
        <v>38.14</v>
      </c>
    </row>
    <row r="8" spans="1:4" x14ac:dyDescent="0.3">
      <c r="A8" s="5">
        <v>2025</v>
      </c>
      <c r="B8" s="7">
        <v>0.11668939652233208</v>
      </c>
      <c r="C8">
        <v>78.213333333333324</v>
      </c>
      <c r="D8">
        <v>92.32</v>
      </c>
    </row>
    <row r="9" spans="1:4" x14ac:dyDescent="0.3">
      <c r="A9" s="5" t="s">
        <v>16</v>
      </c>
      <c r="B9" s="7">
        <v>0.12722559982629464</v>
      </c>
      <c r="C9">
        <v>43.345882352941175</v>
      </c>
      <c r="D9">
        <v>38.14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9B1-3122-4016-BF46-12517AA552AD}">
  <dimension ref="A3:D9"/>
  <sheetViews>
    <sheetView showGridLines="0" workbookViewId="0">
      <selection activeCell="D4" sqref="D4:D9"/>
    </sheetView>
  </sheetViews>
  <sheetFormatPr defaultRowHeight="14.4" x14ac:dyDescent="0.3"/>
  <cols>
    <col min="1" max="1" width="17.21875" bestFit="1" customWidth="1"/>
    <col min="2" max="2" width="20.77734375" bestFit="1" customWidth="1"/>
    <col min="3" max="3" width="20.21875" bestFit="1" customWidth="1"/>
  </cols>
  <sheetData>
    <row r="3" spans="1:4" x14ac:dyDescent="0.3">
      <c r="A3" s="4" t="s">
        <v>15</v>
      </c>
      <c r="B3" t="s">
        <v>19</v>
      </c>
      <c r="C3" t="s">
        <v>17</v>
      </c>
    </row>
    <row r="4" spans="1:4" x14ac:dyDescent="0.3">
      <c r="A4" s="5" t="s">
        <v>9</v>
      </c>
      <c r="B4">
        <v>34.92</v>
      </c>
      <c r="C4">
        <v>257.65999999999997</v>
      </c>
      <c r="D4" s="6">
        <f>B4/C4</f>
        <v>0.13552743926104172</v>
      </c>
    </row>
    <row r="5" spans="1:4" x14ac:dyDescent="0.3">
      <c r="A5" s="5" t="s">
        <v>5</v>
      </c>
      <c r="B5">
        <v>30.75</v>
      </c>
      <c r="C5">
        <v>245.35999999999999</v>
      </c>
      <c r="D5" s="6">
        <f t="shared" ref="D5:D9" si="0">B5/C5</f>
        <v>0.12532605151613957</v>
      </c>
    </row>
    <row r="6" spans="1:4" x14ac:dyDescent="0.3">
      <c r="A6" s="5" t="s">
        <v>11</v>
      </c>
      <c r="B6">
        <v>4.07</v>
      </c>
      <c r="C6">
        <v>38.14</v>
      </c>
      <c r="D6" s="6">
        <f t="shared" si="0"/>
        <v>0.10671211326691138</v>
      </c>
    </row>
    <row r="7" spans="1:4" x14ac:dyDescent="0.3">
      <c r="A7" s="5" t="s">
        <v>10</v>
      </c>
      <c r="B7">
        <v>13.530000000000001</v>
      </c>
      <c r="C7">
        <v>102.44</v>
      </c>
      <c r="D7" s="6">
        <f t="shared" si="0"/>
        <v>0.13207731354939478</v>
      </c>
    </row>
    <row r="8" spans="1:4" x14ac:dyDescent="0.3">
      <c r="A8" s="5" t="s">
        <v>8</v>
      </c>
      <c r="B8">
        <v>10.48</v>
      </c>
      <c r="C8">
        <v>93.28</v>
      </c>
      <c r="D8" s="6">
        <f t="shared" si="0"/>
        <v>0.11234991423670669</v>
      </c>
    </row>
    <row r="9" spans="1:4" x14ac:dyDescent="0.3">
      <c r="A9" s="5" t="s">
        <v>16</v>
      </c>
      <c r="B9">
        <v>93.750000000000014</v>
      </c>
      <c r="C9">
        <v>736.87999999999988</v>
      </c>
      <c r="D9" s="6">
        <f t="shared" si="0"/>
        <v>0.12722559982629469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9B1D-FDDA-4E99-B634-BE3B8C6EDF4B}">
  <dimension ref="A3:B9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27.5546875" bestFit="1" customWidth="1"/>
  </cols>
  <sheetData>
    <row r="3" spans="1:2" x14ac:dyDescent="0.3">
      <c r="A3" s="4" t="s">
        <v>15</v>
      </c>
      <c r="B3" t="s">
        <v>25</v>
      </c>
    </row>
    <row r="4" spans="1:2" x14ac:dyDescent="0.3">
      <c r="A4" s="5">
        <v>2021</v>
      </c>
      <c r="B4" s="8">
        <v>4</v>
      </c>
    </row>
    <row r="5" spans="1:2" x14ac:dyDescent="0.3">
      <c r="A5" s="5">
        <v>2022</v>
      </c>
      <c r="B5" s="8">
        <v>4</v>
      </c>
    </row>
    <row r="6" spans="1:2" x14ac:dyDescent="0.3">
      <c r="A6" s="5">
        <v>2023</v>
      </c>
      <c r="B6" s="8">
        <v>4</v>
      </c>
    </row>
    <row r="7" spans="1:2" x14ac:dyDescent="0.3">
      <c r="A7" s="5">
        <v>2024</v>
      </c>
      <c r="B7" s="8">
        <v>2</v>
      </c>
    </row>
    <row r="8" spans="1:2" x14ac:dyDescent="0.3">
      <c r="A8" s="5">
        <v>2025</v>
      </c>
      <c r="B8" s="8">
        <v>3</v>
      </c>
    </row>
    <row r="9" spans="1:2" x14ac:dyDescent="0.3">
      <c r="A9" s="5" t="s">
        <v>16</v>
      </c>
      <c r="B9" s="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CB0B-85DF-4332-A5C6-627DD16619AC}">
  <dimension ref="A1:D9"/>
  <sheetViews>
    <sheetView workbookViewId="0">
      <selection activeCell="A5" sqref="A5"/>
    </sheetView>
  </sheetViews>
  <sheetFormatPr defaultRowHeight="14.4" x14ac:dyDescent="0.3"/>
  <cols>
    <col min="1" max="1" width="17.21875" bestFit="1" customWidth="1"/>
    <col min="2" max="2" width="27.5546875" bestFit="1" customWidth="1"/>
    <col min="3" max="3" width="30.88671875" bestFit="1" customWidth="1"/>
    <col min="4" max="4" width="25" bestFit="1" customWidth="1"/>
  </cols>
  <sheetData>
    <row r="1" spans="1:4" x14ac:dyDescent="0.3">
      <c r="A1" s="4" t="s">
        <v>2</v>
      </c>
      <c r="B1" t="s" vm="1">
        <v>28</v>
      </c>
    </row>
    <row r="3" spans="1:4" x14ac:dyDescent="0.3">
      <c r="A3" s="4" t="s">
        <v>15</v>
      </c>
      <c r="B3" t="s">
        <v>25</v>
      </c>
      <c r="C3" t="s">
        <v>26</v>
      </c>
      <c r="D3" t="s">
        <v>27</v>
      </c>
    </row>
    <row r="4" spans="1:4" x14ac:dyDescent="0.3">
      <c r="A4" s="5">
        <v>2021</v>
      </c>
      <c r="B4" s="8">
        <v>4</v>
      </c>
      <c r="C4" s="8">
        <v>2</v>
      </c>
      <c r="D4" s="9">
        <v>2</v>
      </c>
    </row>
    <row r="5" spans="1:4" x14ac:dyDescent="0.3">
      <c r="A5" s="5">
        <v>2022</v>
      </c>
      <c r="B5" s="8">
        <v>4</v>
      </c>
      <c r="C5" s="8">
        <v>3</v>
      </c>
      <c r="D5" s="9">
        <v>3</v>
      </c>
    </row>
    <row r="6" spans="1:4" x14ac:dyDescent="0.3">
      <c r="A6" s="5">
        <v>2023</v>
      </c>
      <c r="B6" s="8">
        <v>4</v>
      </c>
      <c r="C6" s="8">
        <v>2</v>
      </c>
      <c r="D6" s="9">
        <v>2</v>
      </c>
    </row>
    <row r="7" spans="1:4" x14ac:dyDescent="0.3">
      <c r="A7" s="5">
        <v>2024</v>
      </c>
      <c r="B7" s="8">
        <v>2</v>
      </c>
      <c r="C7" s="8">
        <v>2</v>
      </c>
      <c r="D7" s="9">
        <v>2</v>
      </c>
    </row>
    <row r="8" spans="1:4" x14ac:dyDescent="0.3">
      <c r="A8" s="5">
        <v>2025</v>
      </c>
      <c r="B8" s="8">
        <v>3</v>
      </c>
      <c r="C8" s="8">
        <v>2</v>
      </c>
      <c r="D8" s="9">
        <v>2</v>
      </c>
    </row>
    <row r="9" spans="1:4" x14ac:dyDescent="0.3">
      <c r="A9" s="5" t="s">
        <v>16</v>
      </c>
      <c r="B9" s="8">
        <v>17</v>
      </c>
      <c r="C9" s="8">
        <v>5</v>
      </c>
      <c r="D9" s="9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H18"/>
  <sheetViews>
    <sheetView tabSelected="1" workbookViewId="0"/>
  </sheetViews>
  <sheetFormatPr defaultRowHeight="14.4" x14ac:dyDescent="0.3"/>
  <cols>
    <col min="1" max="1" width="15.77734375" customWidth="1"/>
    <col min="2" max="2" width="12.77734375" style="1" customWidth="1"/>
    <col min="3" max="3" width="13.44140625" customWidth="1"/>
    <col min="4" max="4" width="18.44140625" customWidth="1"/>
    <col min="5" max="5" width="18" customWidth="1"/>
    <col min="6" max="6" width="13" customWidth="1"/>
    <col min="7" max="7" width="11.33203125" bestFit="1" customWidth="1"/>
  </cols>
  <sheetData>
    <row r="1" spans="1:8" x14ac:dyDescent="0.3">
      <c r="A1" s="2" t="s">
        <v>0</v>
      </c>
      <c r="B1" s="3" t="s">
        <v>1</v>
      </c>
      <c r="C1" s="2" t="s">
        <v>13</v>
      </c>
      <c r="D1" s="2" t="s">
        <v>12</v>
      </c>
      <c r="E1" s="2" t="s">
        <v>2</v>
      </c>
      <c r="F1" s="2" t="s">
        <v>3</v>
      </c>
      <c r="G1" s="2" t="s">
        <v>14</v>
      </c>
      <c r="H1" s="2" t="s">
        <v>20</v>
      </c>
    </row>
    <row r="2" spans="1:8" x14ac:dyDescent="0.3">
      <c r="A2">
        <v>1</v>
      </c>
      <c r="B2" s="1">
        <v>44204</v>
      </c>
      <c r="C2">
        <f>YEAR(B2)</f>
        <v>2021</v>
      </c>
      <c r="D2" t="s">
        <v>4</v>
      </c>
      <c r="E2" t="s">
        <v>5</v>
      </c>
      <c r="F2">
        <v>32.119999999999997</v>
      </c>
      <c r="G2">
        <v>3.97</v>
      </c>
      <c r="H2">
        <f>F2*2</f>
        <v>64.239999999999995</v>
      </c>
    </row>
    <row r="3" spans="1:8" x14ac:dyDescent="0.3">
      <c r="A3">
        <v>2</v>
      </c>
      <c r="B3" s="1">
        <v>44204</v>
      </c>
      <c r="C3">
        <f t="shared" ref="C3:C18" si="0">YEAR(B3)</f>
        <v>2021</v>
      </c>
      <c r="D3" t="s">
        <v>4</v>
      </c>
      <c r="E3" t="s">
        <v>9</v>
      </c>
      <c r="F3">
        <v>32.56</v>
      </c>
      <c r="G3">
        <v>5.0199999999999996</v>
      </c>
      <c r="H3">
        <f t="shared" ref="H3:H18" si="1">F3*2</f>
        <v>65.12</v>
      </c>
    </row>
    <row r="4" spans="1:8" x14ac:dyDescent="0.3">
      <c r="A4">
        <v>3</v>
      </c>
      <c r="B4" s="1">
        <v>44230</v>
      </c>
      <c r="C4">
        <f t="shared" si="0"/>
        <v>2021</v>
      </c>
      <c r="D4" t="s">
        <v>6</v>
      </c>
      <c r="E4" t="s">
        <v>5</v>
      </c>
      <c r="F4">
        <v>38.14</v>
      </c>
      <c r="G4">
        <v>4.04</v>
      </c>
      <c r="H4">
        <f t="shared" si="1"/>
        <v>76.28</v>
      </c>
    </row>
    <row r="5" spans="1:8" x14ac:dyDescent="0.3">
      <c r="A5">
        <v>4</v>
      </c>
      <c r="B5" s="1">
        <v>44234</v>
      </c>
      <c r="C5">
        <f t="shared" si="0"/>
        <v>2021</v>
      </c>
      <c r="D5" t="s">
        <v>7</v>
      </c>
      <c r="E5" t="s">
        <v>5</v>
      </c>
      <c r="F5">
        <v>39.14</v>
      </c>
      <c r="G5">
        <v>6.2</v>
      </c>
      <c r="H5">
        <f t="shared" si="1"/>
        <v>78.28</v>
      </c>
    </row>
    <row r="6" spans="1:8" x14ac:dyDescent="0.3">
      <c r="A6">
        <v>5</v>
      </c>
      <c r="B6" s="1">
        <v>44658</v>
      </c>
      <c r="C6">
        <f t="shared" si="0"/>
        <v>2022</v>
      </c>
      <c r="D6" t="s">
        <v>4</v>
      </c>
      <c r="E6" t="s">
        <v>8</v>
      </c>
      <c r="F6">
        <v>55.14</v>
      </c>
      <c r="G6">
        <v>6</v>
      </c>
      <c r="H6">
        <f t="shared" si="1"/>
        <v>110.28</v>
      </c>
    </row>
    <row r="7" spans="1:8" x14ac:dyDescent="0.3">
      <c r="A7">
        <v>6</v>
      </c>
      <c r="B7" s="1">
        <v>44682</v>
      </c>
      <c r="C7">
        <f t="shared" si="0"/>
        <v>2022</v>
      </c>
      <c r="D7" t="s">
        <v>4</v>
      </c>
      <c r="E7" t="s">
        <v>9</v>
      </c>
      <c r="F7">
        <v>22.32</v>
      </c>
      <c r="G7">
        <v>3.91</v>
      </c>
      <c r="H7">
        <f t="shared" si="1"/>
        <v>44.64</v>
      </c>
    </row>
    <row r="8" spans="1:8" x14ac:dyDescent="0.3">
      <c r="A8">
        <v>7</v>
      </c>
      <c r="B8" s="1">
        <v>44774</v>
      </c>
      <c r="C8">
        <f t="shared" si="0"/>
        <v>2022</v>
      </c>
      <c r="D8" t="s">
        <v>4</v>
      </c>
      <c r="E8" t="s">
        <v>5</v>
      </c>
      <c r="F8">
        <v>21.32</v>
      </c>
      <c r="G8">
        <v>3.35</v>
      </c>
      <c r="H8">
        <f t="shared" si="1"/>
        <v>42.64</v>
      </c>
    </row>
    <row r="9" spans="1:8" x14ac:dyDescent="0.3">
      <c r="A9">
        <v>8</v>
      </c>
      <c r="B9" s="1">
        <v>44845</v>
      </c>
      <c r="C9">
        <f t="shared" si="0"/>
        <v>2022</v>
      </c>
      <c r="D9" t="s">
        <v>6</v>
      </c>
      <c r="E9" t="s">
        <v>5</v>
      </c>
      <c r="F9">
        <v>22.32</v>
      </c>
      <c r="G9">
        <v>3.38</v>
      </c>
      <c r="H9">
        <f t="shared" si="1"/>
        <v>44.64</v>
      </c>
    </row>
    <row r="10" spans="1:8" x14ac:dyDescent="0.3">
      <c r="A10">
        <v>9</v>
      </c>
      <c r="B10" s="1">
        <v>45210</v>
      </c>
      <c r="C10">
        <f t="shared" si="0"/>
        <v>2023</v>
      </c>
      <c r="D10" t="s">
        <v>7</v>
      </c>
      <c r="E10" t="s">
        <v>10</v>
      </c>
      <c r="F10">
        <v>72.319999999999993</v>
      </c>
      <c r="G10">
        <v>8.6300000000000008</v>
      </c>
      <c r="H10">
        <f t="shared" si="1"/>
        <v>144.63999999999999</v>
      </c>
    </row>
    <row r="11" spans="1:8" x14ac:dyDescent="0.3">
      <c r="A11">
        <v>10</v>
      </c>
      <c r="B11" s="1">
        <v>45216</v>
      </c>
      <c r="C11">
        <f t="shared" si="0"/>
        <v>2023</v>
      </c>
      <c r="D11" t="s">
        <v>4</v>
      </c>
      <c r="E11" t="s">
        <v>10</v>
      </c>
      <c r="F11">
        <v>30.12</v>
      </c>
      <c r="G11">
        <v>4.9000000000000004</v>
      </c>
      <c r="H11">
        <f t="shared" si="1"/>
        <v>60.24</v>
      </c>
    </row>
    <row r="12" spans="1:8" x14ac:dyDescent="0.3">
      <c r="A12">
        <v>11</v>
      </c>
      <c r="B12" s="1">
        <v>45216</v>
      </c>
      <c r="C12">
        <f t="shared" si="0"/>
        <v>2023</v>
      </c>
      <c r="D12" t="s">
        <v>4</v>
      </c>
      <c r="E12" t="s">
        <v>9</v>
      </c>
      <c r="F12">
        <v>22.32</v>
      </c>
      <c r="G12">
        <v>2.99</v>
      </c>
      <c r="H12">
        <f t="shared" si="1"/>
        <v>44.64</v>
      </c>
    </row>
    <row r="13" spans="1:8" x14ac:dyDescent="0.3">
      <c r="A13">
        <v>12</v>
      </c>
      <c r="B13" s="1">
        <v>45271</v>
      </c>
      <c r="C13">
        <f t="shared" si="0"/>
        <v>2023</v>
      </c>
      <c r="D13" t="s">
        <v>6</v>
      </c>
      <c r="E13" t="s">
        <v>9</v>
      </c>
      <c r="F13">
        <v>38.14</v>
      </c>
      <c r="G13">
        <v>5.43</v>
      </c>
      <c r="H13">
        <f t="shared" si="1"/>
        <v>76.28</v>
      </c>
    </row>
    <row r="14" spans="1:8" x14ac:dyDescent="0.3">
      <c r="A14">
        <v>13</v>
      </c>
      <c r="B14" s="1">
        <v>45643</v>
      </c>
      <c r="C14">
        <f t="shared" si="0"/>
        <v>2024</v>
      </c>
      <c r="D14" t="s">
        <v>4</v>
      </c>
      <c r="E14" t="s">
        <v>11</v>
      </c>
      <c r="F14">
        <v>38.14</v>
      </c>
      <c r="G14">
        <v>4.07</v>
      </c>
      <c r="H14">
        <f t="shared" si="1"/>
        <v>76.28</v>
      </c>
    </row>
    <row r="15" spans="1:8" x14ac:dyDescent="0.3">
      <c r="A15">
        <v>14</v>
      </c>
      <c r="B15" s="1">
        <v>45643</v>
      </c>
      <c r="C15">
        <f t="shared" si="0"/>
        <v>2024</v>
      </c>
      <c r="D15" t="s">
        <v>7</v>
      </c>
      <c r="E15" t="s">
        <v>8</v>
      </c>
      <c r="F15">
        <v>38.14</v>
      </c>
      <c r="G15">
        <v>4.4800000000000004</v>
      </c>
      <c r="H15">
        <f t="shared" si="1"/>
        <v>76.28</v>
      </c>
    </row>
    <row r="16" spans="1:8" x14ac:dyDescent="0.3">
      <c r="A16">
        <v>15</v>
      </c>
      <c r="B16" s="1">
        <v>45660</v>
      </c>
      <c r="C16">
        <f t="shared" si="0"/>
        <v>2025</v>
      </c>
      <c r="D16" t="s">
        <v>4</v>
      </c>
      <c r="E16" t="s">
        <v>9</v>
      </c>
      <c r="F16">
        <v>92.32</v>
      </c>
      <c r="G16">
        <v>10.63</v>
      </c>
      <c r="H16">
        <f t="shared" si="1"/>
        <v>184.64</v>
      </c>
    </row>
    <row r="17" spans="1:8" x14ac:dyDescent="0.3">
      <c r="A17">
        <v>16</v>
      </c>
      <c r="B17" s="1">
        <v>45660</v>
      </c>
      <c r="C17">
        <f t="shared" si="0"/>
        <v>2025</v>
      </c>
      <c r="D17" t="s">
        <v>6</v>
      </c>
      <c r="E17" t="s">
        <v>5</v>
      </c>
      <c r="F17">
        <v>92.32</v>
      </c>
      <c r="G17">
        <v>9.81</v>
      </c>
      <c r="H17">
        <f t="shared" si="1"/>
        <v>184.64</v>
      </c>
    </row>
    <row r="18" spans="1:8" x14ac:dyDescent="0.3">
      <c r="A18">
        <v>17</v>
      </c>
      <c r="B18" s="1">
        <v>45691</v>
      </c>
      <c r="C18">
        <f t="shared" si="0"/>
        <v>2025</v>
      </c>
      <c r="D18" t="s">
        <v>4</v>
      </c>
      <c r="E18" t="s">
        <v>9</v>
      </c>
      <c r="F18">
        <v>50</v>
      </c>
      <c r="G18">
        <v>6.94</v>
      </c>
      <c r="H18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Pivot 1</vt:lpstr>
      <vt:lpstr>Pivot 2</vt:lpstr>
      <vt:lpstr>Power Pivot 1</vt:lpstr>
      <vt:lpstr>Pivot 3</vt:lpstr>
      <vt:lpstr>Pivot 4 Count</vt:lpstr>
      <vt:lpstr>Power Pivot 2 Count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Iantomasi</dc:creator>
  <cp:lastModifiedBy>Nicola A</cp:lastModifiedBy>
  <dcterms:created xsi:type="dcterms:W3CDTF">2015-06-05T18:19:34Z</dcterms:created>
  <dcterms:modified xsi:type="dcterms:W3CDTF">2026-04-06T09:44:47Z</dcterms:modified>
</cp:coreProperties>
</file>